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BNZ\ai-platform-architecture\01-motivation\03-use-cases\use-case-prioritisation\"/>
    </mc:Choice>
  </mc:AlternateContent>
  <xr:revisionPtr revIDLastSave="0" documentId="13_ncr:1_{216D97CC-FB0A-4ABC-A640-189EC0C19343}" xr6:coauthVersionLast="47" xr6:coauthVersionMax="47" xr10:uidLastSave="{00000000-0000-0000-0000-000000000000}"/>
  <bookViews>
    <workbookView xWindow="-120" yWindow="-120" windowWidth="29040" windowHeight="15720" firstSheet="1" activeTab="6" xr2:uid="{00000000-000D-0000-FFFF-FFFF00000000}"/>
  </bookViews>
  <sheets>
    <sheet name="1. Dashboard" sheetId="7" r:id="rId1"/>
    <sheet name="2. Use Cases" sheetId="1" r:id="rId2"/>
    <sheet name="3. DVF Filtering" sheetId="2" r:id="rId3"/>
    <sheet name="4. WSJF Scoring" sheetId="3" r:id="rId4"/>
    <sheet name="5. Dependencies Schedule" sheetId="4" r:id="rId5"/>
    <sheet name="6. Portfolio View" sheetId="5" r:id="rId6"/>
    <sheet name="7. Solutions" sheetId="9" r:id="rId7"/>
    <sheet name="8. Scoring Guidelines" sheetId="6" r:id="rId8"/>
  </sheets>
  <definedNames>
    <definedName name="BusinessValueTable">'8. Scoring Guidelines'!$B$5:$E$11</definedName>
    <definedName name="BusinessValueTerms">'8. Scoring Guidelines'!$B$5:$B$11</definedName>
    <definedName name="DesirabilityTable">'8. Scoring Guidelines'!$B$42:$E$46</definedName>
    <definedName name="DesirabilityTerm">'8. Scoring Guidelines'!$B$42:$B$46</definedName>
    <definedName name="FeasibilityTable">'8. Scoring Guidelines'!$B$54:$E$58</definedName>
    <definedName name="FeasibilityTerm">'8. Scoring Guidelines'!$B$54:$B$58</definedName>
    <definedName name="ViabilityTable">'8. Scoring Guidelines'!$B$48:$E$52</definedName>
    <definedName name="ViabilityTerm">'8. Scoring Guidelines'!$B$48:$B$52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C5" i="2"/>
  <c r="C6" i="2"/>
  <c r="C7" i="2"/>
  <c r="C8" i="2"/>
  <c r="C9" i="2"/>
  <c r="C10" i="2"/>
  <c r="G10" i="2" s="1"/>
  <c r="C11" i="2"/>
  <c r="C12" i="2"/>
  <c r="C13" i="2"/>
  <c r="G13" i="2" s="1"/>
  <c r="C14" i="2"/>
  <c r="G14" i="2" s="1"/>
  <c r="C15" i="2"/>
  <c r="G15" i="2" s="1"/>
  <c r="C16" i="2"/>
  <c r="G16" i="2" s="1"/>
  <c r="C17" i="2"/>
  <c r="G17" i="2" s="1"/>
  <c r="C18" i="2"/>
  <c r="C19" i="2"/>
  <c r="C20" i="2"/>
  <c r="G20" i="2" s="1"/>
  <c r="C21" i="2"/>
  <c r="C22" i="2"/>
  <c r="G22" i="2" s="1"/>
  <c r="C23" i="2"/>
  <c r="C24" i="2"/>
  <c r="G24" i="2" s="1"/>
  <c r="C25" i="2"/>
  <c r="C26" i="2"/>
  <c r="E4" i="2"/>
  <c r="E5" i="2"/>
  <c r="E6" i="2"/>
  <c r="E7" i="2"/>
  <c r="E8" i="2"/>
  <c r="E9" i="2"/>
  <c r="E10" i="2"/>
  <c r="E11" i="2"/>
  <c r="E12" i="2"/>
  <c r="E13" i="2"/>
  <c r="E14" i="2"/>
  <c r="E15" i="2"/>
  <c r="E16" i="2"/>
  <c r="E17" i="2"/>
  <c r="E18" i="2"/>
  <c r="E19" i="2"/>
  <c r="E20" i="2"/>
  <c r="E21" i="2"/>
  <c r="E22" i="2"/>
  <c r="E23" i="2"/>
  <c r="E24" i="2"/>
  <c r="E25" i="2"/>
  <c r="E26" i="2"/>
  <c r="E3" i="2"/>
  <c r="D3" i="2"/>
  <c r="D4" i="2"/>
  <c r="D5" i="2"/>
  <c r="D6" i="2"/>
  <c r="F6" i="2" s="1"/>
  <c r="D7" i="2"/>
  <c r="D8" i="2"/>
  <c r="F8" i="2" s="1"/>
  <c r="D9" i="2"/>
  <c r="D10" i="2"/>
  <c r="D11" i="2"/>
  <c r="D12" i="2"/>
  <c r="F12" i="2" s="1"/>
  <c r="D13" i="2"/>
  <c r="D14" i="2"/>
  <c r="D15" i="2"/>
  <c r="D16" i="2"/>
  <c r="D17" i="2"/>
  <c r="D18" i="2"/>
  <c r="D19" i="2"/>
  <c r="D20" i="2"/>
  <c r="D21" i="2"/>
  <c r="D22" i="2"/>
  <c r="D23" i="2"/>
  <c r="G23" i="2" s="1"/>
  <c r="D24" i="2"/>
  <c r="F24" i="2" s="1"/>
  <c r="D25" i="2"/>
  <c r="G25" i="2" s="1"/>
  <c r="D26" i="2"/>
  <c r="G26" i="2" s="1"/>
  <c r="C3" i="2"/>
  <c r="G3" i="2" s="1"/>
  <c r="M2" i="1"/>
  <c r="M3" i="1"/>
  <c r="M4" i="1"/>
  <c r="M5" i="1"/>
  <c r="M6" i="1"/>
  <c r="M7" i="1"/>
  <c r="M8" i="1"/>
  <c r="M9" i="1"/>
  <c r="M10" i="1"/>
  <c r="M11" i="1"/>
  <c r="M12" i="1"/>
  <c r="M13" i="1"/>
  <c r="M14" i="1"/>
  <c r="M15" i="1"/>
  <c r="M16" i="1"/>
  <c r="M17" i="1"/>
  <c r="M18" i="1"/>
  <c r="M19" i="1"/>
  <c r="M20" i="1"/>
  <c r="M21" i="1"/>
  <c r="M22" i="1"/>
  <c r="M23" i="1"/>
  <c r="M24" i="1"/>
  <c r="M25" i="1"/>
  <c r="K2" i="1"/>
  <c r="K3" i="1"/>
  <c r="K4" i="1"/>
  <c r="K5" i="1"/>
  <c r="K6" i="1"/>
  <c r="K7" i="1"/>
  <c r="K8" i="1"/>
  <c r="K9" i="1"/>
  <c r="K10" i="1"/>
  <c r="K11" i="1"/>
  <c r="K12" i="1"/>
  <c r="K13" i="1"/>
  <c r="K14" i="1"/>
  <c r="K15" i="1"/>
  <c r="K16" i="1"/>
  <c r="K17" i="1"/>
  <c r="K18" i="1"/>
  <c r="K19" i="1"/>
  <c r="K20" i="1"/>
  <c r="K21" i="1"/>
  <c r="K22" i="1"/>
  <c r="K23" i="1"/>
  <c r="K24" i="1"/>
  <c r="K25" i="1"/>
  <c r="I2" i="1"/>
  <c r="I3" i="1"/>
  <c r="I4" i="1"/>
  <c r="I5" i="1"/>
  <c r="I6" i="1"/>
  <c r="I7" i="1"/>
  <c r="I8" i="1"/>
  <c r="I9" i="1"/>
  <c r="I10" i="1"/>
  <c r="I11" i="1"/>
  <c r="I12" i="1"/>
  <c r="I13" i="1"/>
  <c r="I14" i="1"/>
  <c r="I15" i="1"/>
  <c r="I16" i="1"/>
  <c r="I17" i="1"/>
  <c r="I18" i="1"/>
  <c r="I19" i="1"/>
  <c r="I20" i="1"/>
  <c r="I21" i="1"/>
  <c r="I22" i="1"/>
  <c r="I23" i="1"/>
  <c r="I24" i="1"/>
  <c r="I25" i="1"/>
  <c r="C4" i="3"/>
  <c r="C5" i="3"/>
  <c r="F5" i="3" s="1"/>
  <c r="C6" i="3"/>
  <c r="F6" i="3" s="1"/>
  <c r="D6" i="5" s="1"/>
  <c r="F6" i="5" s="1"/>
  <c r="H6" i="5" s="1"/>
  <c r="C7" i="3"/>
  <c r="F7" i="3" s="1"/>
  <c r="D7" i="5" s="1"/>
  <c r="F7" i="5" s="1"/>
  <c r="H7" i="5" s="1"/>
  <c r="C8" i="3"/>
  <c r="F8" i="3" s="1"/>
  <c r="D8" i="5" s="1"/>
  <c r="F8" i="5" s="1"/>
  <c r="H8" i="5" s="1"/>
  <c r="C9" i="3"/>
  <c r="F9" i="3" s="1"/>
  <c r="C10" i="3"/>
  <c r="F10" i="3" s="1"/>
  <c r="D10" i="5" s="1"/>
  <c r="F10" i="5" s="1"/>
  <c r="H10" i="5" s="1"/>
  <c r="C11" i="3"/>
  <c r="F11" i="3" s="1"/>
  <c r="C12" i="3"/>
  <c r="F12" i="3" s="1"/>
  <c r="C13" i="3"/>
  <c r="F13" i="3" s="1"/>
  <c r="C14" i="3"/>
  <c r="F14" i="3" s="1"/>
  <c r="C15" i="3"/>
  <c r="F15" i="3" s="1"/>
  <c r="C16" i="3"/>
  <c r="F16" i="3" s="1"/>
  <c r="C17" i="3"/>
  <c r="F17" i="3" s="1"/>
  <c r="C18" i="3"/>
  <c r="F18" i="3" s="1"/>
  <c r="C19" i="3"/>
  <c r="F19" i="3" s="1"/>
  <c r="C20" i="3"/>
  <c r="F20" i="3" s="1"/>
  <c r="C21" i="3"/>
  <c r="F21" i="3" s="1"/>
  <c r="C22" i="3"/>
  <c r="F22" i="3" s="1"/>
  <c r="C23" i="3"/>
  <c r="F23" i="3" s="1"/>
  <c r="C24" i="3"/>
  <c r="F24" i="3" s="1"/>
  <c r="C25" i="3"/>
  <c r="F25" i="3" s="1"/>
  <c r="C26" i="3"/>
  <c r="F26" i="3" s="1"/>
  <c r="C3" i="3"/>
  <c r="F3" i="3" s="1"/>
  <c r="D3" i="5" s="1"/>
  <c r="F3" i="5" s="1"/>
  <c r="H3" i="5" s="1"/>
  <c r="G2" i="1"/>
  <c r="G3" i="1"/>
  <c r="G4" i="1"/>
  <c r="G5" i="1"/>
  <c r="G6" i="1"/>
  <c r="G7" i="1"/>
  <c r="G8" i="1"/>
  <c r="G9" i="1"/>
  <c r="G10" i="1"/>
  <c r="G11" i="1"/>
  <c r="G12" i="1"/>
  <c r="G13" i="1"/>
  <c r="G14" i="1"/>
  <c r="G15" i="1"/>
  <c r="G16" i="1"/>
  <c r="G17" i="1"/>
  <c r="G18" i="1"/>
  <c r="G19" i="1"/>
  <c r="G20" i="1"/>
  <c r="G21" i="1"/>
  <c r="G22" i="1"/>
  <c r="G23" i="1"/>
  <c r="G24" i="1"/>
  <c r="G25" i="1"/>
  <c r="B3" i="9"/>
  <c r="B4" i="9"/>
  <c r="B5" i="9"/>
  <c r="B6" i="9"/>
  <c r="B7" i="9"/>
  <c r="B8" i="9"/>
  <c r="B9" i="9"/>
  <c r="B10" i="9"/>
  <c r="B11" i="9"/>
  <c r="B12" i="9"/>
  <c r="B13" i="9"/>
  <c r="B14" i="9"/>
  <c r="B15" i="9"/>
  <c r="B16" i="9"/>
  <c r="B17" i="9"/>
  <c r="B18" i="9"/>
  <c r="B19" i="9"/>
  <c r="B20" i="9"/>
  <c r="B21" i="9"/>
  <c r="B22" i="9"/>
  <c r="B23" i="9"/>
  <c r="B24" i="9"/>
  <c r="B25" i="9"/>
  <c r="B2" i="9"/>
  <c r="G4" i="5"/>
  <c r="G5" i="5"/>
  <c r="G6" i="5"/>
  <c r="G7" i="5"/>
  <c r="G8" i="5"/>
  <c r="G9" i="5"/>
  <c r="G10" i="5"/>
  <c r="G11" i="5"/>
  <c r="G12" i="5"/>
  <c r="G13" i="5"/>
  <c r="G14" i="5"/>
  <c r="G15" i="5"/>
  <c r="G16" i="5"/>
  <c r="G17" i="5"/>
  <c r="G18" i="5"/>
  <c r="G19" i="5"/>
  <c r="G20" i="5"/>
  <c r="G21" i="5"/>
  <c r="G22" i="5"/>
  <c r="G23" i="5"/>
  <c r="G24" i="5"/>
  <c r="G25" i="5"/>
  <c r="G26" i="5"/>
  <c r="G3" i="5"/>
  <c r="B26" i="5"/>
  <c r="B25" i="5"/>
  <c r="B24" i="5"/>
  <c r="B23" i="5"/>
  <c r="B22" i="5"/>
  <c r="B21" i="5"/>
  <c r="B20" i="5"/>
  <c r="B19" i="5"/>
  <c r="B18" i="5"/>
  <c r="B17" i="5"/>
  <c r="B16" i="5"/>
  <c r="B15" i="5"/>
  <c r="B14" i="5"/>
  <c r="B13" i="5"/>
  <c r="B12" i="5"/>
  <c r="B11" i="5"/>
  <c r="B10" i="5"/>
  <c r="B9" i="5"/>
  <c r="B8" i="5"/>
  <c r="B7" i="5"/>
  <c r="B6" i="5"/>
  <c r="B5" i="5"/>
  <c r="B4" i="5"/>
  <c r="B3" i="5"/>
  <c r="F4" i="3"/>
  <c r="D4" i="5" s="1"/>
  <c r="F4" i="5" s="1"/>
  <c r="H4" i="5" s="1"/>
  <c r="B4" i="3"/>
  <c r="B5" i="3"/>
  <c r="B6" i="3"/>
  <c r="B7" i="3"/>
  <c r="B8" i="3"/>
  <c r="B9" i="3"/>
  <c r="B10" i="3"/>
  <c r="B11" i="3"/>
  <c r="B12" i="3"/>
  <c r="B13" i="3"/>
  <c r="B14" i="3"/>
  <c r="B15" i="3"/>
  <c r="B16" i="3"/>
  <c r="B17" i="3"/>
  <c r="B18" i="3"/>
  <c r="B19" i="3"/>
  <c r="B20" i="3"/>
  <c r="B21" i="3"/>
  <c r="B22" i="3"/>
  <c r="B23" i="3"/>
  <c r="B24" i="3"/>
  <c r="B25" i="3"/>
  <c r="B26" i="3"/>
  <c r="B3" i="3"/>
  <c r="F4" i="2"/>
  <c r="F5" i="2"/>
  <c r="B4" i="2"/>
  <c r="B3" i="2"/>
  <c r="B5" i="2"/>
  <c r="B6" i="2"/>
  <c r="B7" i="2"/>
  <c r="B8" i="2"/>
  <c r="B9" i="2"/>
  <c r="B10" i="2"/>
  <c r="B11" i="2"/>
  <c r="B12" i="2"/>
  <c r="B13" i="2"/>
  <c r="B14" i="2"/>
  <c r="B15" i="2"/>
  <c r="B16" i="2"/>
  <c r="B17" i="2"/>
  <c r="B18" i="2"/>
  <c r="B19" i="2"/>
  <c r="B20" i="2"/>
  <c r="B21" i="2"/>
  <c r="B22" i="2"/>
  <c r="B23" i="2"/>
  <c r="B24" i="2"/>
  <c r="B25" i="2"/>
  <c r="B26" i="2"/>
  <c r="D14" i="7"/>
  <c r="D13" i="7"/>
  <c r="D12" i="7"/>
  <c r="D11" i="7"/>
  <c r="B11" i="7"/>
  <c r="D10" i="7"/>
  <c r="B10" i="7"/>
  <c r="D9" i="7"/>
  <c r="B9" i="7"/>
  <c r="D8" i="7"/>
  <c r="B8" i="7"/>
  <c r="D7" i="7"/>
  <c r="B7" i="7"/>
  <c r="D6" i="7"/>
  <c r="D5" i="7"/>
  <c r="B4" i="7"/>
  <c r="I26" i="5"/>
  <c r="E26" i="5"/>
  <c r="A26" i="5"/>
  <c r="I25" i="5"/>
  <c r="E25" i="5"/>
  <c r="A25" i="5"/>
  <c r="I24" i="5"/>
  <c r="E24" i="5"/>
  <c r="A24" i="5"/>
  <c r="I23" i="5"/>
  <c r="E23" i="5"/>
  <c r="A23" i="5"/>
  <c r="I22" i="5"/>
  <c r="E22" i="5"/>
  <c r="A22" i="5"/>
  <c r="I21" i="5"/>
  <c r="E21" i="5"/>
  <c r="A21" i="5"/>
  <c r="I20" i="5"/>
  <c r="E20" i="5"/>
  <c r="A20" i="5"/>
  <c r="I19" i="5"/>
  <c r="E19" i="5"/>
  <c r="A19" i="5"/>
  <c r="I18" i="5"/>
  <c r="E18" i="5"/>
  <c r="A18" i="5"/>
  <c r="I17" i="5"/>
  <c r="E17" i="5"/>
  <c r="A17" i="5"/>
  <c r="I16" i="5"/>
  <c r="E16" i="5"/>
  <c r="A16" i="5"/>
  <c r="I15" i="5"/>
  <c r="E15" i="5"/>
  <c r="A15" i="5"/>
  <c r="I14" i="5"/>
  <c r="E14" i="5"/>
  <c r="A14" i="5"/>
  <c r="I13" i="5"/>
  <c r="E13" i="5"/>
  <c r="A13" i="5"/>
  <c r="I12" i="5"/>
  <c r="E12" i="5"/>
  <c r="A12" i="5"/>
  <c r="I11" i="5"/>
  <c r="E11" i="5"/>
  <c r="A11" i="5"/>
  <c r="I10" i="5"/>
  <c r="E10" i="5"/>
  <c r="A10" i="5"/>
  <c r="I9" i="5"/>
  <c r="E9" i="5"/>
  <c r="A9" i="5"/>
  <c r="I8" i="5"/>
  <c r="E8" i="5"/>
  <c r="A8" i="5"/>
  <c r="I7" i="5"/>
  <c r="E7" i="5"/>
  <c r="A7" i="5"/>
  <c r="I6" i="5"/>
  <c r="E6" i="5"/>
  <c r="A6" i="5"/>
  <c r="I5" i="5"/>
  <c r="E5" i="5"/>
  <c r="A5" i="5"/>
  <c r="I4" i="5"/>
  <c r="E4" i="5"/>
  <c r="A4" i="5"/>
  <c r="I3" i="5"/>
  <c r="E3" i="5"/>
  <c r="A3" i="5"/>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B3" i="4"/>
  <c r="A3" i="4"/>
  <c r="A26" i="3"/>
  <c r="A25" i="3"/>
  <c r="A24" i="3"/>
  <c r="A23" i="3"/>
  <c r="A22" i="3"/>
  <c r="A21" i="3"/>
  <c r="A20" i="3"/>
  <c r="A19" i="3"/>
  <c r="A18" i="3"/>
  <c r="A17" i="3"/>
  <c r="A16" i="3"/>
  <c r="A15" i="3"/>
  <c r="A14" i="3"/>
  <c r="A13" i="3"/>
  <c r="A12" i="3"/>
  <c r="A11" i="3"/>
  <c r="A10" i="3"/>
  <c r="A9" i="3"/>
  <c r="A8" i="3"/>
  <c r="A7" i="3"/>
  <c r="A6" i="3"/>
  <c r="A5" i="3"/>
  <c r="A4" i="3"/>
  <c r="A3" i="3"/>
  <c r="G18" i="2" l="1"/>
  <c r="G11" i="2"/>
  <c r="G9" i="2"/>
  <c r="G8" i="2"/>
  <c r="G7" i="2"/>
  <c r="G6" i="2"/>
  <c r="G5" i="2"/>
  <c r="G4" i="2"/>
  <c r="F3" i="2"/>
  <c r="G21" i="2"/>
  <c r="G19" i="2"/>
  <c r="G12" i="2"/>
  <c r="B6" i="7" s="1"/>
  <c r="F22" i="2"/>
  <c r="F20" i="2"/>
  <c r="F19" i="2"/>
  <c r="F16" i="2"/>
  <c r="F15" i="2"/>
  <c r="F7" i="2"/>
  <c r="F18" i="2"/>
  <c r="F11" i="2"/>
  <c r="F13" i="2"/>
  <c r="F25" i="2"/>
  <c r="F23" i="2"/>
  <c r="F21" i="2"/>
  <c r="F14" i="2"/>
  <c r="F9" i="2"/>
  <c r="F10" i="2"/>
  <c r="F17" i="2"/>
  <c r="B5" i="7"/>
  <c r="F26" i="2"/>
  <c r="H7" i="3"/>
  <c r="H6" i="3"/>
  <c r="D5" i="5"/>
  <c r="F5" i="5" s="1"/>
  <c r="H5" i="5" s="1"/>
  <c r="H5" i="3"/>
  <c r="D9" i="5"/>
  <c r="F9" i="5" s="1"/>
  <c r="H9" i="5" s="1"/>
  <c r="H9" i="3"/>
  <c r="H8" i="3"/>
  <c r="D23" i="5"/>
  <c r="F23" i="5" s="1"/>
  <c r="H23" i="5" s="1"/>
  <c r="H23" i="3"/>
  <c r="H11" i="3"/>
  <c r="D11" i="5"/>
  <c r="F11" i="5" s="1"/>
  <c r="H11" i="5" s="1"/>
  <c r="D26" i="5"/>
  <c r="F26" i="5" s="1"/>
  <c r="H26" i="5" s="1"/>
  <c r="H26" i="3"/>
  <c r="D25" i="5"/>
  <c r="F25" i="5" s="1"/>
  <c r="H25" i="5" s="1"/>
  <c r="H25" i="3"/>
  <c r="D24" i="5"/>
  <c r="F24" i="5" s="1"/>
  <c r="H24" i="5" s="1"/>
  <c r="H24" i="3"/>
  <c r="D22" i="5"/>
  <c r="F22" i="5" s="1"/>
  <c r="H22" i="5" s="1"/>
  <c r="H22" i="3"/>
  <c r="D21" i="5"/>
  <c r="F21" i="5" s="1"/>
  <c r="H21" i="5" s="1"/>
  <c r="H21" i="3"/>
  <c r="D20" i="5"/>
  <c r="F20" i="5" s="1"/>
  <c r="H20" i="5" s="1"/>
  <c r="H20" i="3"/>
  <c r="D19" i="5"/>
  <c r="F19" i="5" s="1"/>
  <c r="H19" i="5" s="1"/>
  <c r="H19" i="3"/>
  <c r="D18" i="5"/>
  <c r="F18" i="5" s="1"/>
  <c r="H18" i="5" s="1"/>
  <c r="H18" i="3"/>
  <c r="D17" i="5"/>
  <c r="F17" i="5" s="1"/>
  <c r="H17" i="5" s="1"/>
  <c r="H17" i="3"/>
  <c r="D16" i="5"/>
  <c r="F16" i="5" s="1"/>
  <c r="H16" i="5" s="1"/>
  <c r="H16" i="3"/>
  <c r="D15" i="5"/>
  <c r="F15" i="5" s="1"/>
  <c r="H15" i="5" s="1"/>
  <c r="H15" i="3"/>
  <c r="D14" i="5"/>
  <c r="F14" i="5" s="1"/>
  <c r="H14" i="5" s="1"/>
  <c r="H14" i="3"/>
  <c r="D13" i="5"/>
  <c r="F13" i="5" s="1"/>
  <c r="H13" i="5" s="1"/>
  <c r="H13" i="3"/>
  <c r="D12" i="5"/>
  <c r="F12" i="5" s="1"/>
  <c r="H12" i="5" s="1"/>
  <c r="H12" i="3"/>
  <c r="H4" i="3"/>
  <c r="H10" i="3"/>
  <c r="H3" i="3"/>
  <c r="B17" i="7" l="1"/>
  <c r="B16" i="7"/>
  <c r="I3" i="3"/>
  <c r="I7" i="3"/>
  <c r="C7" i="5" s="1"/>
  <c r="I16" i="3"/>
  <c r="I18" i="3"/>
  <c r="C18" i="5" s="1"/>
  <c r="I25" i="3"/>
  <c r="I8" i="3"/>
  <c r="I21" i="3"/>
  <c r="I6" i="3"/>
  <c r="I9" i="3"/>
  <c r="C9" i="4" s="1"/>
  <c r="I17" i="3"/>
  <c r="I20" i="3"/>
  <c r="I24" i="3"/>
  <c r="I10" i="3"/>
  <c r="I13" i="3"/>
  <c r="C13" i="5" s="1"/>
  <c r="I5" i="3"/>
  <c r="I11" i="3"/>
  <c r="C11" i="5" s="1"/>
  <c r="I23" i="3"/>
  <c r="I12" i="3"/>
  <c r="I26" i="3"/>
  <c r="C26" i="5" s="1"/>
  <c r="I14" i="3"/>
  <c r="I15" i="3"/>
  <c r="I19" i="3"/>
  <c r="C19" i="5" s="1"/>
  <c r="I22" i="3"/>
  <c r="I4" i="3"/>
  <c r="C4" i="5" s="1"/>
  <c r="B14" i="7"/>
  <c r="B15" i="7"/>
  <c r="C7" i="4" l="1"/>
  <c r="C5" i="4"/>
  <c r="C5" i="5"/>
  <c r="C12" i="5"/>
  <c r="C12" i="4"/>
  <c r="C25" i="5"/>
  <c r="C25" i="4"/>
  <c r="C14" i="5"/>
  <c r="C14" i="4"/>
  <c r="C10" i="4"/>
  <c r="C10" i="5"/>
  <c r="C17" i="4"/>
  <c r="C17" i="5"/>
  <c r="C9" i="5"/>
  <c r="C11" i="4"/>
  <c r="C4" i="4"/>
  <c r="C8" i="5"/>
  <c r="C8" i="4"/>
  <c r="C26" i="4"/>
  <c r="C13" i="4"/>
  <c r="C16" i="4"/>
  <c r="C16" i="5"/>
  <c r="C23" i="4"/>
  <c r="C23" i="5"/>
  <c r="C24" i="4"/>
  <c r="C24" i="5"/>
  <c r="C18" i="4"/>
  <c r="C21" i="4"/>
  <c r="C21" i="5"/>
  <c r="C19" i="4"/>
  <c r="C22" i="5"/>
  <c r="C22" i="4"/>
  <c r="C15" i="5"/>
  <c r="C15" i="4"/>
  <c r="C20" i="5"/>
  <c r="C20" i="4"/>
  <c r="C6" i="4"/>
  <c r="C6" i="5"/>
  <c r="C3" i="5"/>
  <c r="C3" i="4"/>
</calcChain>
</file>

<file path=xl/sharedStrings.xml><?xml version="1.0" encoding="utf-8"?>
<sst xmlns="http://schemas.openxmlformats.org/spreadsheetml/2006/main" count="678" uniqueCount="359">
  <si>
    <t>ID</t>
  </si>
  <si>
    <t>Name</t>
  </si>
  <si>
    <t>Summary</t>
  </si>
  <si>
    <t>Category</t>
  </si>
  <si>
    <t>Strategic Theme</t>
  </si>
  <si>
    <t>AI Type</t>
  </si>
  <si>
    <t>FrontLine - Partnership Banking</t>
  </si>
  <si>
    <t>Customer &amp; Relationship Management</t>
  </si>
  <si>
    <t>Customer Experience</t>
  </si>
  <si>
    <t>Embedded/Vendor AI</t>
  </si>
  <si>
    <t>Finance</t>
  </si>
  <si>
    <t>Finance &amp; Accounting</t>
  </si>
  <si>
    <t>Operational Efficiency</t>
  </si>
  <si>
    <t>Generative AI</t>
  </si>
  <si>
    <t>Analytics and Reporting</t>
  </si>
  <si>
    <t>Data &amp; Analytics</t>
  </si>
  <si>
    <t>Data-Driven Decisions</t>
  </si>
  <si>
    <t>Credit Risk</t>
  </si>
  <si>
    <t>Risk Management</t>
  </si>
  <si>
    <t>Risk &amp; Compliance</t>
  </si>
  <si>
    <t>ML/AI</t>
  </si>
  <si>
    <t>Lending Ops</t>
  </si>
  <si>
    <t>Lending &amp; Credit Operations</t>
  </si>
  <si>
    <t>Document AI</t>
  </si>
  <si>
    <t>HyperPersonalization</t>
  </si>
  <si>
    <t>Marketing &amp; Personalization</t>
  </si>
  <si>
    <t>Contact Centre</t>
  </si>
  <si>
    <t>Customer Service &amp; Support</t>
  </si>
  <si>
    <t>Security AI</t>
  </si>
  <si>
    <t>Cybersecurity &amp; Threat Detection</t>
  </si>
  <si>
    <t>Data Products</t>
  </si>
  <si>
    <t>SDLC</t>
  </si>
  <si>
    <t>Software Development &amp; Engineering</t>
  </si>
  <si>
    <t>Code AI</t>
  </si>
  <si>
    <t>Fincrime</t>
  </si>
  <si>
    <t>Compliance &amp; Financial Crime</t>
  </si>
  <si>
    <t>QA/QC</t>
  </si>
  <si>
    <t>Quality Assurance &amp; Compliance</t>
  </si>
  <si>
    <t>Fraud Ops</t>
  </si>
  <si>
    <t>Fraud Detection &amp; Prevention</t>
  </si>
  <si>
    <t>Onboarding</t>
  </si>
  <si>
    <t>Customer Onboarding &amp; KYC</t>
  </si>
  <si>
    <t>Risk Functions</t>
  </si>
  <si>
    <t>IT Ops</t>
  </si>
  <si>
    <t>IT Operations &amp; Service Management</t>
  </si>
  <si>
    <t>AIOps</t>
  </si>
  <si>
    <t>FrontLine - CIB</t>
  </si>
  <si>
    <t>Procurement</t>
  </si>
  <si>
    <t>Procurement &amp; Supply Chain</t>
  </si>
  <si>
    <t>Multi-Agent AI</t>
  </si>
  <si>
    <t>Payment Disputes</t>
  </si>
  <si>
    <t>Payments &amp; Dispute Resolution</t>
  </si>
  <si>
    <t>Controls Testing</t>
  </si>
  <si>
    <t>Audit &amp; Controls Testing</t>
  </si>
  <si>
    <t>Wholesale Underwriting</t>
  </si>
  <si>
    <t>Learning Content</t>
  </si>
  <si>
    <t>Learning &amp; Development</t>
  </si>
  <si>
    <t>Collection Management</t>
  </si>
  <si>
    <t>Collections &amp; Recovery</t>
  </si>
  <si>
    <t>Front-end App Personalisation</t>
  </si>
  <si>
    <t>INSTRUCTIONS: Score each dimension 1-5. Pass requires ALL dimensions ≥3. 5=Excellent, 4=Good, 3=Acceptable, 2=Poor, 1=Very Poor</t>
  </si>
  <si>
    <t>Desirability (1-5)</t>
  </si>
  <si>
    <t>Viability (1-5)</t>
  </si>
  <si>
    <t>Feasibility (1-5)</t>
  </si>
  <si>
    <t>DVF Total</t>
  </si>
  <si>
    <t>DVF Status</t>
  </si>
  <si>
    <t>Notes</t>
  </si>
  <si>
    <t>Time Criticality</t>
  </si>
  <si>
    <t>Cost of Delay</t>
  </si>
  <si>
    <t>WSJF Score</t>
  </si>
  <si>
    <t>WSJF Rank</t>
  </si>
  <si>
    <t>INSTRUCTIONS: Document dependencies. Assign waves: Wave 1 (Q1-Q3 2026), Wave 2 (Q4 2026-Q3 2027), Wave 3 (Q4 2027-Q2 2028)</t>
  </si>
  <si>
    <t>Prerequisites (IDs)</t>
  </si>
  <si>
    <t>Enables (IDs)</t>
  </si>
  <si>
    <t>Earliest Start</t>
  </si>
  <si>
    <t>Recommended Wave</t>
  </si>
  <si>
    <t>Rationale</t>
  </si>
  <si>
    <t>Value Tier</t>
  </si>
  <si>
    <t>Effort Tier</t>
  </si>
  <si>
    <t>Quadrant</t>
  </si>
  <si>
    <t>Wave</t>
  </si>
  <si>
    <t>Top 10</t>
  </si>
  <si>
    <t>Top 5</t>
  </si>
  <si>
    <t>SCORE</t>
  </si>
  <si>
    <t>DESCRIPTION</t>
  </si>
  <si>
    <t>EXAMPLES</t>
  </si>
  <si>
    <t>20</t>
  </si>
  <si>
    <t>&gt;$5M annual benefit OR &gt;20% efficiency gain</t>
  </si>
  <si>
    <t>Major revenue driver, critical customer experience</t>
  </si>
  <si>
    <t>13</t>
  </si>
  <si>
    <t>$2-5M benefit OR 10-20% efficiency</t>
  </si>
  <si>
    <t>Significant cost savings, important customer feature</t>
  </si>
  <si>
    <t>8</t>
  </si>
  <si>
    <t>$500K-2M benefit OR 5-10% efficiency</t>
  </si>
  <si>
    <t>Meaningful operational improvement</t>
  </si>
  <si>
    <t>5</t>
  </si>
  <si>
    <t>$100K-500K benefit OR 2-5% efficiency</t>
  </si>
  <si>
    <t>Moderate business value</t>
  </si>
  <si>
    <t>3</t>
  </si>
  <si>
    <t>$50K-100K benefit OR 1-2% efficiency</t>
  </si>
  <si>
    <t>Small but tangible benefit</t>
  </si>
  <si>
    <t>2</t>
  </si>
  <si>
    <t>&lt;$50K benefit OR &lt;1% efficiency</t>
  </si>
  <si>
    <t>Minimal quantified benefit</t>
  </si>
  <si>
    <t>1</t>
  </si>
  <si>
    <t>Negligible benefit</t>
  </si>
  <si>
    <t>No clear business value</t>
  </si>
  <si>
    <t>Fixed regulatory deadline &lt;6 months OR major competitive threat</t>
  </si>
  <si>
    <t>Compliance deadline with penalties</t>
  </si>
  <si>
    <t>Fixed deadline &lt;12 months OR significant competitive pressure</t>
  </si>
  <si>
    <t>Market window closing</t>
  </si>
  <si>
    <t>Preferred timing &lt;12 months OR moderate competitive benefit</t>
  </si>
  <si>
    <t>Seasonal opportunity</t>
  </si>
  <si>
    <t>Beneficial timing &lt;18 months</t>
  </si>
  <si>
    <t>Loose timing preference</t>
  </si>
  <si>
    <t>Timing preference &lt;24 months</t>
  </si>
  <si>
    <t>Minor timing consideration</t>
  </si>
  <si>
    <t>No specific timing driver</t>
  </si>
  <si>
    <t>Flexible timing</t>
  </si>
  <si>
    <t>Can be done anytime</t>
  </si>
  <si>
    <t>No urgency</t>
  </si>
  <si>
    <t>Eliminates critical risk OR enables 5+ use cases</t>
  </si>
  <si>
    <t>Major security vulnerability, platform foundation</t>
  </si>
  <si>
    <t>Significantly reduces high risk OR enables 3-4 use cases</t>
  </si>
  <si>
    <t>Compliance risk, key infrastructure</t>
  </si>
  <si>
    <t>Reduces moderate risk OR enables 2 use cases</t>
  </si>
  <si>
    <t>Technical debt, reusable component</t>
  </si>
  <si>
    <t>Reduces minor risk OR enables 1 use case</t>
  </si>
  <si>
    <t>Small risk mitigation</t>
  </si>
  <si>
    <t>Small risk reduction OR creates reusable component</t>
  </si>
  <si>
    <t>Incremental improvement</t>
  </si>
  <si>
    <t>Minimal risk impact</t>
  </si>
  <si>
    <t>Negligible risk reduction</t>
  </si>
  <si>
    <t>No risk reduction or enabling capability</t>
  </si>
  <si>
    <t>No strategic value</t>
  </si>
  <si>
    <t>18+ months OR &gt;100 person-months</t>
  </si>
  <si>
    <t>Enterprise transformation</t>
  </si>
  <si>
    <t>12-18 months OR 50-100 person-months</t>
  </si>
  <si>
    <t>Major program</t>
  </si>
  <si>
    <t>6-12 months OR 20-50 person-months</t>
  </si>
  <si>
    <t>Significant project</t>
  </si>
  <si>
    <t>3-6 months OR 10-20 person-months</t>
  </si>
  <si>
    <t>Standard project</t>
  </si>
  <si>
    <t>1-3 months OR 5-10 person-months</t>
  </si>
  <si>
    <t>Small project</t>
  </si>
  <si>
    <t>&lt;1 month OR &lt;5 person-months</t>
  </si>
  <si>
    <t>Very small initiative</t>
  </si>
  <si>
    <t>Minimal effort</t>
  </si>
  <si>
    <t>Trivial change</t>
  </si>
  <si>
    <t>DIMENSION</t>
  </si>
  <si>
    <t>KEY QUESTIONS</t>
  </si>
  <si>
    <t>Desirability</t>
  </si>
  <si>
    <t>Does it solve a critical pain point? Is demand validated?</t>
  </si>
  <si>
    <t>4</t>
  </si>
  <si>
    <t>Is there user research supporting this?</t>
  </si>
  <si>
    <t>Do users see value in this?</t>
  </si>
  <si>
    <t>Is this an assumption or validated need?</t>
  </si>
  <si>
    <t>Are we solving the wrong problem?</t>
  </si>
  <si>
    <t>Viability</t>
  </si>
  <si>
    <t>Does it align with strategy? Is ROI clear?</t>
  </si>
  <si>
    <t>Can we afford it? Does it fit our model?</t>
  </si>
  <si>
    <t>Is the business case sound?</t>
  </si>
  <si>
    <t>Are the financials uncertain?</t>
  </si>
  <si>
    <t>Can we justify the investment?</t>
  </si>
  <si>
    <t>Feasibility</t>
  </si>
  <si>
    <t>Do we have the technology, data, and skills?</t>
  </si>
  <si>
    <t>Are there any technical blockers?</t>
  </si>
  <si>
    <t>Is it technically possible with current capabilities?</t>
  </si>
  <si>
    <t>Do we need new technology or data?</t>
  </si>
  <si>
    <t>BNZ AI USE CASE PRIORITIZATION DASHBOARD</t>
  </si>
  <si>
    <t>SUMMARY STATISTICS</t>
  </si>
  <si>
    <t>TOP 10 USE CASES (BY WSJF RANK)</t>
  </si>
  <si>
    <t>Total Use Cases:</t>
  </si>
  <si>
    <t>Rank</t>
  </si>
  <si>
    <t>DVF Pass:</t>
  </si>
  <si>
    <t>DVF Fail:</t>
  </si>
  <si>
    <t>Top 10 Count:</t>
  </si>
  <si>
    <t>Top 5 Count:</t>
  </si>
  <si>
    <t>Wave 1 Use Cases:</t>
  </si>
  <si>
    <t>Wave 2 Use Cases:</t>
  </si>
  <si>
    <t>Wave 3 Use Cases:</t>
  </si>
  <si>
    <t>PORTFOLIO QUADRANTS</t>
  </si>
  <si>
    <t>Quick Wins:</t>
  </si>
  <si>
    <t>Strategic Bets:</t>
  </si>
  <si>
    <t>Fill-ins:</t>
  </si>
  <si>
    <t>Avoid:</t>
  </si>
  <si>
    <t>UC01</t>
  </si>
  <si>
    <t>UC02</t>
  </si>
  <si>
    <t>UC03</t>
  </si>
  <si>
    <t>UC04</t>
  </si>
  <si>
    <t>UC05</t>
  </si>
  <si>
    <t>UC06</t>
  </si>
  <si>
    <t>UC07</t>
  </si>
  <si>
    <t>UC08</t>
  </si>
  <si>
    <t>UC09</t>
  </si>
  <si>
    <t>UC10</t>
  </si>
  <si>
    <t>UC11</t>
  </si>
  <si>
    <t>UC12</t>
  </si>
  <si>
    <t>UC13</t>
  </si>
  <si>
    <t>UC14</t>
  </si>
  <si>
    <t>UC15</t>
  </si>
  <si>
    <t>UC16</t>
  </si>
  <si>
    <t>UC17</t>
  </si>
  <si>
    <t>UC18</t>
  </si>
  <si>
    <t>UC19</t>
  </si>
  <si>
    <t>UC20</t>
  </si>
  <si>
    <t>UC21</t>
  </si>
  <si>
    <t>UC22</t>
  </si>
  <si>
    <t>UC23</t>
  </si>
  <si>
    <t>UC24</t>
  </si>
  <si>
    <t>Business Value</t>
  </si>
  <si>
    <t>Risk Reduction / Opptunity Enable</t>
  </si>
  <si>
    <t>Initiative Size</t>
  </si>
  <si>
    <t>INSTRUCTIONS: Use Fibonacci sizing (1,2,3,5,8,13,20). WSJF = Cost of Delay ÷ Initiative Size. Higher WSJF = Higher Priority.</t>
  </si>
  <si>
    <t>Iniative Size</t>
  </si>
  <si>
    <t>No</t>
  </si>
  <si>
    <t>INSTRUCTIONS: Portfolio view with automatic tier calculations. Mark Top 10 and Top 5 checkboxes. Add  Notes for presentation.</t>
  </si>
  <si>
    <t>Risk Reduction / Opportunity Enablement</t>
  </si>
  <si>
    <t>SCORING GUIDELINES (WSJF)</t>
  </si>
  <si>
    <t>SCORING GUIDELINES (DVF )</t>
  </si>
  <si>
    <t>Aspect</t>
  </si>
  <si>
    <t>GenAI-driven RM solutions for deepening banker-customer relationships.</t>
  </si>
  <si>
    <t>Transform raw financial data into well-structured reports (P&amp;L, balance sheets).</t>
  </si>
  <si>
    <t>AI builds on BI by turning historical data into proactive guidance.</t>
  </si>
  <si>
    <t>GenAI-driven Credit Risk solutions for data-driven decision-making.</t>
  </si>
  <si>
    <t>AI Document Processing for Loan Applications &amp; Compliance.</t>
  </si>
  <si>
    <t>Generative AI enables new customer relevance through marketing reinvention.</t>
  </si>
  <si>
    <t>Generate call summaries, agent-assist features, customer self-service.</t>
  </si>
  <si>
    <t>Use of AI to identify threats earlier with higher accuracy.</t>
  </si>
  <si>
    <t>Extend GenAI intervention to accelerate data product creation.</t>
  </si>
  <si>
    <t>GenAI can automate key SDLC tasks, enhancing productivity.</t>
  </si>
  <si>
    <t>Name screening, OCDD, ECDD and TM narrative writing.</t>
  </si>
  <si>
    <t>Automate data validation, detecting errors, ensuring compliance.</t>
  </si>
  <si>
    <t>AI support for case officers through pattern detection and evidence gathering.</t>
  </si>
  <si>
    <t>AI streamlines onboarding by automating ID verification, KYC checks.</t>
  </si>
  <si>
    <t>AI reduces Operational Risk by identifying anomalies.</t>
  </si>
  <si>
    <t>Evolution of Ticketing Process and Smart Routing.</t>
  </si>
  <si>
    <t>GenAI-driven RM solutions for Corporate and Investment Banking.</t>
  </si>
  <si>
    <t>Multi-Agent System for End-to-end Procurement process optimization.</t>
  </si>
  <si>
    <t>Automate end-to-end lifecycle of card payment disputes.</t>
  </si>
  <si>
    <t>Automate IT and business control testing.</t>
  </si>
  <si>
    <t>End-to-end transformation of CIB Risk Underwriting process.</t>
  </si>
  <si>
    <t>AI accelerates content creation by generating lessons and quizzes.</t>
  </si>
  <si>
    <t>AI optimises collections by predicting payment likelihood.</t>
  </si>
  <si>
    <t>Use of GenAI in mobile app for hyper personalisation.</t>
  </si>
  <si>
    <t>Increased revenue through improved cross-sell / upsell effectiveness; Enhanced customer satisfaction and retention; Reduced relationship manager preparation time; Improved customer lifetime value; Better risk identification and proactive engagement.</t>
  </si>
  <si>
    <t>Reduced month-end close time; Improved accuracy and reduced manual errors; Faster decision-making with real-time insights; Enhanced regulatory compliance; Reduced FTE costs in financial reporting.</t>
  </si>
  <si>
    <t>Democratized data access reducing analyst dependency; Proactive decision-making with predictive capabilities; Reduced report generation time from days to minutes; Improved business agility and responsiveness; Enhanced data-driven culture across organization.</t>
  </si>
  <si>
    <t>Reduced credit losses through better risk assessment; Faster loan approval times improving customer experience; Optimized pricing increasing profitability; Enhanced portfolio monitoring reducing defaults; Improved regulatory compliance and capital efficiency.</t>
  </si>
  <si>
    <t>Processing time reduction for loan applications; Improved accuracy reducing rework; Enhanced compliance with automated validation; Reduced operational costs; Faster time-to-yes improving customer satisfaction</t>
  </si>
  <si>
    <t>Increased campaign conversion rates; Higher customer engagement and satisfaction scores; Improved product adoption; Reduced customer churn; Enhanced brand loyalty and NPS scores</t>
  </si>
  <si>
    <t>Reduced average handle time; Improved first call resolution; Enhanced customer satisfaction (CSAT) scores; Reduced agent training time; Lower operational costs through automation of inquiries</t>
  </si>
  <si>
    <t>Reduced threat detection time from hours to minutes; reduction in false positives; Prevented potential losses from cyber attacks; Enhanced regulatory compliance and risk management; Improved security team efficiency.</t>
  </si>
  <si>
    <t>Accelerated data product delivery; Improved data quality and consistency; Enhanced data discoverability and reusability; Reduced time-to-insight for business users; Lower data engineering costs.</t>
  </si>
  <si>
    <t>Developer productivity increased; Faster time-to-market; Reduced bugs and security vulnerabilities; Improved code quality and maintainability; Lower technical debt accumulation.</t>
  </si>
  <si>
    <t>Reduced investigation time; Improved detection accuracy reducing false positives; Enhanced regulatory compliance and audit readiness; Lower operational costs; Faster filing and response times.</t>
  </si>
  <si>
    <t>Reduced manual QA effort; Improved data quality and accuracy; Faster identification of high-risk issues; Enhanced regulatory compliance; Lower operational risk and audit findings.</t>
  </si>
  <si>
    <t>Reduced fraud investigation time; Prevented fraud losses; Improved detection accuracy; Enhanced case officer productivit; Better customer experience with faster resolution.</t>
  </si>
  <si>
    <t>Reduced onboarding time from days to hours; Improved customer experience and conversion rates; Enhanced compliance with automated checks; Lower operational costs; Reduced abandonment rates.</t>
  </si>
  <si>
    <t>Improved risk detection reducing losses; Faster risk assessment and response times; Enhanced regulatory compliance and capital optimization; Reduced manual effort; Better enterprise-wide risk visibility and management.</t>
  </si>
  <si>
    <t>Reduced mean time to resolution (MTTR); Automated resolution of tickets; Improved SLA compliance and user satisfaction; Lower IT support costs; Better workload distribution and resource optimization.</t>
  </si>
  <si>
    <t>Increased wallet share with corporate clients; Enhanced deal win rates; Improved relationship manager productivity; Better market intelligence and competitive positioning; Reduced client attrition and increased loyalty.</t>
  </si>
  <si>
    <t>Cost savings through optimized sourcing; Reduced procurement cycle time; Improved supplier performance and risk management; Enhanced spend visibility and control; Lower invoice processing costs.</t>
  </si>
  <si>
    <t>Reduced dispute resolution time; Improved win rates on chargebacks; Enhanced customer satisfaction with faster resolutions; Lower operational costs; Better compliance with card scheme requirements.</t>
  </si>
  <si>
    <t>Reduced testing effort; Continuous controls monitoring vs periodic testing; Improved control effectiveness and compliance; Earlier detection of control deficiencies; Lower audit costs and faster audit cycles.</t>
  </si>
  <si>
    <t>Reduced underwriting time; Improved risk-adjusted pricing and profitability; Enhanced portfolio quality with continuous monitoring; Faster deal turnaround improving competitiveness; Lower credit losses through better risk assessment.</t>
  </si>
  <si>
    <t>Reduced content creation time; Improved training personalization and effectiveness; Enhanced learning engagement and completion rates; Lower training development costs; Faster time-to-competency for new roles.</t>
  </si>
  <si>
    <t>Improved recovery rates; Reduced collection costs; Better customer treatment and satisfaction; Optimized collector productivity; Lower write-offs through early intervention and targeted strategies.</t>
  </si>
  <si>
    <t>Increased app engagement; Higher product adoption through personalized recommendations; Improved NPS and customer satisfaction scores; Reduced marketing campaign costs; Enhanced brand differentiation with Uber-like experience.</t>
  </si>
  <si>
    <t>Benefits</t>
  </si>
  <si>
    <t>TERM</t>
  </si>
  <si>
    <t>Negligible</t>
  </si>
  <si>
    <t>Minimal</t>
  </si>
  <si>
    <t>Minor</t>
  </si>
  <si>
    <t>Moderate</t>
  </si>
  <si>
    <t>Significant</t>
  </si>
  <si>
    <t>Major</t>
  </si>
  <si>
    <t>Very Significant</t>
  </si>
  <si>
    <t>Major &lt; 6 months</t>
  </si>
  <si>
    <t>Significant &lt; 12 months</t>
  </si>
  <si>
    <t>Very Significant &lt; 12 months</t>
  </si>
  <si>
    <t>Moderate &lt; 18 months</t>
  </si>
  <si>
    <t>Minor &lt; 24 months</t>
  </si>
  <si>
    <t>Trivial</t>
  </si>
  <si>
    <t>Excellent</t>
  </si>
  <si>
    <t>Good</t>
  </si>
  <si>
    <t>Acceptable</t>
  </si>
  <si>
    <t>Poor</t>
  </si>
  <si>
    <t>Very Poor</t>
  </si>
  <si>
    <t>Unclear if colleagues or customers want this.</t>
  </si>
  <si>
    <t>Colleagues or customers unlikely to adopt.</t>
  </si>
  <si>
    <t>Strong evidence colleagues or customers want this.</t>
  </si>
  <si>
    <t>Clear colleague or customer demand.</t>
  </si>
  <si>
    <t>Meets minimum colleague or customer needs.</t>
  </si>
  <si>
    <t>Strong financial case, strategic alignment.</t>
  </si>
  <si>
    <t>Clear business case.</t>
  </si>
  <si>
    <t>Financially viable.</t>
  </si>
  <si>
    <t>Weak business case.</t>
  </si>
  <si>
    <t>Not financially viable.</t>
  </si>
  <si>
    <t>All capabilities exist, low technical risk.</t>
  </si>
  <si>
    <t>Minor gaps, manageable risk.</t>
  </si>
  <si>
    <t>Can be built with moderate effort.</t>
  </si>
  <si>
    <t>Significant technical challenges.</t>
  </si>
  <si>
    <t>Major technical blockers.</t>
  </si>
  <si>
    <t>Is this even possible with current BNZ technology?</t>
  </si>
  <si>
    <t>Desirability Description</t>
  </si>
  <si>
    <t>Viability Description</t>
  </si>
  <si>
    <t>Feasibility Description</t>
  </si>
  <si>
    <t>Description</t>
  </si>
  <si>
    <t>AI-powered relationship management platform that transforms how bankers engage with clients through automated meeting preparation, personalized insights generation, and proactive relationship intelligence. Uses GenAI to analyze client data, synthesize account plans, generate talking points, and identify cross-sell opportunities within minutes. Similar to agentic AI systems showing marked  increase in qualified leads and significant boost in conversion rates.</t>
  </si>
  <si>
    <t>Business Value Description</t>
  </si>
  <si>
    <t>Intelligent financial reporting automation that uses GenAI and ML to automatically reconcile financial statements, generate P&amp;L reports, balance sheets, and variance analysis with narrative explanations. Extracts data from multiple sources with accuracy, identifies anomalies, flags questionable disclosures, and significantly reduces month-end close. Delivers significant operational productivity gains.</t>
  </si>
  <si>
    <t>Natural language analytics platform enabling conversational business intelligence where users ask questions in everyday language and receive auto-generated visualizations, narratives, and predictive insights. Integrates chat-style AI assistants (Copilot) directly in analytics platforms for back-and-forth dialogue with data, eliminating technical requirements and cutting query-to-insight time.</t>
  </si>
  <si>
    <t>Advanced ML credit risk platform leveraging relevant algorithms with appropriate explainability for transparent credit decisions. Integrates alternative data sources (mobile usage, rent history, social media) alongside traditional credit data. GenAI tools auto-extract borrower data, analyze statements, and draft memos in significantly less time savings. Achievesvery significant identification of unseen bad debts.</t>
  </si>
  <si>
    <t>Intelligent Document Processing (IDP) system combining OCR, NLP, and RPA to automate loan application handling. Extracts, categorizes, and validates data from applications, bank statements, credit reports, and income verification with required accuracy. Significantly reduces processing time, enables a lot more applications with same staff, cuts operational costs, and improves fraud detection.</t>
  </si>
  <si>
    <t>Real-time hyper-personalization engine that analyzes customer behavior, predicts needs, and delivers individualized experiences across all touchpoints using GenAI. Creates dynamic, personalized content, offers, and recommendations in real-time based on micro-segments and life events. Achieves improvement in customer satisfaction and an increase in cross-selling success through AI-driven insights and AI powered analytics.</t>
  </si>
  <si>
    <t>AI-powered omnichannel contact center with conversational AI virtual agents for self-service, real-time agent assist displaying knowledge and answers on-screen, automated call transcription and summarization, and intelligent routing. GenAI-based assistants handle email and call inquiries, reducing handle time and enabling agents to resolve issues  faster. Handles some customer service requests autonomously.</t>
  </si>
  <si>
    <t>AI-driven security operations (AIOps) platform integrating with SIEM to analyze network, endpoint, and user behavior in real-time using ML models for anomaly detection, behavioral analysis, and threat prediction. Identifies threats within seconds, automatically isolates endpoints, correlates events across systems, and reduces false positives. Enables shift from reactive to predictive security posture essential for banking facing increasing cybercrime.</t>
  </si>
  <si>
    <t>GenAI-accelerated data product platform that automates data pipeline creation, schema generation, documentation, quality validation, and cataloging using AI. Enables self-serve data product development following Data Mesh principles with domain-oriented ownership, automated SLA monitoring, and intelligent discoverability. Reduces data product delivery time, improves quality consistency, and lowers data engineering costs.</t>
  </si>
  <si>
    <t>AI-powered software development lifecycle platform providing intelligent code generation, automated testing, security analysis, code review, and documentation generation using GenAI. Features include GitHub Copilot-style coding assistance, AI-generated test cases, automated vulnerability detection, and intelligent code refactoring. Achieves significant developer productivity increase,  faster time-to-market, and  reduction in bugs and security vulnerabilities.</t>
  </si>
  <si>
    <t>AI-powered AML/KYC compliance platform automating name screening, sanctions checking, adverse media monitoring, and due diligence narrative generation using NLP and ML. Features intelligent entity resolution, automated case investigation, risk scoring, and GenAI-generated OCDD/ECDD narratives. Reduces investigation time, improves detection accuracy, cuts false positives, and ensures audit-ready documentation for regulatory compliance.</t>
  </si>
  <si>
    <t>Automated quality assurance platform using ML for continuous data validation, anomaly detection, compliance checking, and automated testing. Features include intelligent rule-based validation, pattern recognition for error detection, real-time feedback to analysts, risk-based prioritization, and auto-generated audit-ready reports. Reduces manual QA effort, improves data accuracy, and enables continuous monitoring vs. periodic testing.</t>
  </si>
  <si>
    <t>AI-powered fraud investigation platform that assists case officers by automatically summarizing customer history, highlighting suspicious patterns using graph neural networks, auto-gathering evidence from multiple systems, and providing risk scores. Uses ensemble ML models achieving  very high detection accuracy, reduces investigation time, flags fraud within in real times, and cuts false positives.</t>
  </si>
  <si>
    <t>AI-powered customer onboarding platform combining computer vision for document verification, biometric facial recognition for liveness detection, and ML for identity matching and fraud detection. Features include real-time document forensics, automated AML screening, risk assessment, and instant account activation. Reduces onboarding , cuts costs , and prevents synthetic identity fraud.</t>
  </si>
  <si>
    <t>Enterprise risk management platform using ML for anomaly detection, predictive risk modeling, and automated risk reporting across operational, market, liquidity, model, compliance, and technology risks. Features real-time risk dashboards, scenario analysis, automated control testing, and AI-generated risk narratives. Reduces risk assessment time, improves detection accuracy, enables proactive risk mitigation, and provides unified enterprise risk visibility.</t>
  </si>
  <si>
    <t>AIOps platform transforming IT service management through intelligent ticket classification, automated routing based on ML pattern matching, AI-generated incident responses, and predictive maintenance. Features include natural language ticket creation, auto-resolution for common issues, workload optimization, and real-time SLA monitoring. Reduces MTTR, automates ticket resolution, improves SLA compliance, and optimizes resource allocation.</t>
  </si>
  <si>
    <t>AI-powered corporate banking relationship platform that synthesizes corporate intelligence from multiple sources, identifies deal opportunities through predictive analytics, generates client briefing materials, and provides real-time market intelligence. Uses GenAI to auto-create pitch decks, analyze competitor positioning, track client expansion, and identify cross-sell opportunities. Achieves qualified leads increase and conversion boost similar to retail banking implementations.</t>
  </si>
  <si>
    <t>Multi-agent AI system orchestrating end-to-end procurement from planning to invoice reconciliation. Features include AI-powered spend analysis, intelligent supplier matching, automated contract intelligence extraction, predictive demand planning, and automated invoice matching with 3-way reconciliation. Uses specialized agents for sourcing, negotiation support, supplier risk assessment, and continuous spend optimization. Achieves  cost savings and  cycle time reduction.</t>
  </si>
  <si>
    <t>AI-powered dispute resolution platform managing card payment disputes end-to-end for commercial disputes and fraud scenarios. Features include ML-based classification, automated evidence gathering from multiple systems, GenAI-generated response letters, chargeback analysis, and win-rate prediction. Reduces resolution time, improves chargeback win rates, and automates  dispute handling.</t>
  </si>
  <si>
    <t>Continuous controls monitoring platform automating IT and business control testing through AI-powered test execution, anomaly detection, automated evidence collection, and control effectiveness scoring. Features include intelligent test case generation, risk-based control prioritization, automated documentation, and real-time control dashboards. Shifts from periodic to continuous monitoring, reduces testing effort, enables earlier deficiency detection, and accelerates audit cycles.</t>
  </si>
  <si>
    <t>End-to-end CIB underwriting platform automating financial spreading, covenant tracking, credit rating calculation, and credit memo generation using AI. Features include intelligent document processing for financials, automated ratio analysis, risk-adjusted pricing optimization, GenAI-generated credit memos, and continuous covenant monitoring. Reduces underwriting time, improves risk-adjusted pricing, and enables real-time portfolio monitoring.</t>
  </si>
  <si>
    <t>AI-powered learning content platform that automatically generates personalized lessons, quizzes, assessments, microlearning modules, and visual content from source materials using GenAI. Features include adaptive learning paths based on individual progress, AI tutors for Q&amp;A, automated content localization, and competency-based progression tracking. Reduces content creation time, improves completion rates, and accelerates time-to-competency.</t>
  </si>
  <si>
    <t>AI-driven collections platform that predicts payment likelihood using ML, prioritizes accounts by recovery probability, optimizes contact strategies (channel, timing, message), and provides collectors with AI-generated conversation guides. Features include propensity-to-pay modeling, next-best-action recommendations, automated payment plan optimization, and customer treatment fairness monitoring. Improves recovery rates, reduces collection costs, and enhances customer satisfaction.</t>
  </si>
  <si>
    <t>Mobile-first AI personalization platform creating Uber-like experiences through GenAI-automated campaign strategy generation, personalized message variants for micro-segments, and intelligent image selection/generation. Features include real-time behavior analysis, predictive next-best-product recommendations, dynamic UI personalization, A/B testing automation, and contextual push notifications. Achieves app engagement increase, product adoption lift, and creates differentiated customer experiences.</t>
  </si>
  <si>
    <t>AI-powered relationship management platform integrating LLM with CRM systems and data sources. Solution includes: 1) RAG (Retrieval Augmented Generation) for customer insights synthesis, 2) Predictive analytics for next best actions, 3) GenAI for meeting prep and communication drafting, 4) Real-time alerts using ML models for relationship health monitoring.</t>
  </si>
  <si>
    <t>AI augmented  financial reporting. Components include: 1) Access to data products and data models by AI agents, 2) GenAI for narrative generation and variance explanations, 3) Anomaly detection ML models for data quality checks, 4) Automated report generation with natural language summaries, 5) Integration with Power BI for visualization.</t>
  </si>
  <si>
    <t>AI-augmented analytics leveraging Snowflake with: 1) Natural language query interface (NLQ) using LLMs for conversational analytics, 2) Predictive ML models (time series forecasting, classification), 3) AutoML for citizen data scientists, 4) GenAI for automated insight generation and narrative explanations, 5) Semantic layer for unified data access, 6) Integration with Fivetran for data ingestion.</t>
  </si>
  <si>
    <t>AI-driven credit decisioning platform with: 1) Advanced ML models for credit scoring and probability of default, 2) Alternative data analytics for enhanced risk assessment, 3) GenAI for credit narrative generation and explanation, 4) Real-time monitoring using streaming analytics, 5) Ensemble models for portfolio risk aggregation, 6) Explainable AI for regulatory compliance and transparency.</t>
  </si>
  <si>
    <t>Intelligent document processing solution using: 1) OCR for data extraction, 2) NLP models for document classification and entity recognition, 3) ML validation models for data accuracy and completeness checks, 4) GenAI for document summarization and compliance narrative generation, 5) RPA integration for workflow automation, 6) Human-in-the-loop for exception handling</t>
  </si>
  <si>
    <t>Real-time personalization engine with: 1) Customer data platform as source of unified customer view, 2) ML recommendation models (collaborative filtering, deep learning) for next best offer, 3) GenAI for personalized content creation at scale, 4) Real-time decisioning engine for dynamic offers, 5) Multi-armed bandit algorithms for offer optimization, 6) Journey orchestration platform integration, 7) A/B testing framework for continuous improvement.</t>
  </si>
  <si>
    <t>AI-powered contact center solution with: 1) Conversational AI virtual agents for tier-1 support automation, 2) Real-time agent assist using LLMs with RAG over knowledge base, 3) NLP for intent classification and sentiment analysis, 4) Speech-to-text transcription and analytics, 5) ML models for intelligent routing and queue optimization, 6) Quality monitoring using AI for compliance and coaching, 7) Integration with CRM and telephony platforms.</t>
  </si>
  <si>
    <t>AI-driven security operations platform with: 1) ML-based user and entity behavioranalytics for anomaly detection, 2) Deep learning models for threat pattern recognition and zero-day detection, 3) Integration with SIEM  for log correlation, 4) Automated threat intelligence enrichment, 5) AI-powered Security Orchestration, Automation and Response (SOAR), 6) Network traffic analysis using AI, 7) GenAI for security report generation and incident summarization.</t>
  </si>
  <si>
    <t>AI-accelerated data product platform with: 1) GenAI for automated data model and pipeline code generation from business requirements, 2) ML-powered data quality profiling and validation, 3) Automated documentation generation using LLMs, 4) Semantic search over data catalog for discovery, 5) GenAI for data contract and API specification generation, 6) Metadata management with AI-driven tagging and classification, 7) DataOps automation with CI/CD pipelines.</t>
  </si>
  <si>
    <t>AI-powered development platform featuring: 1) GitHub Copilot (or equivalent) for code generation and completion, 2) AI code review tools for quality and security analysis, 3) Automated test generation using GenAI, 4) Documentation generation from code and comments, 5) AI-assisted debugging and root cause analysis, 6) Automated dependency management and vulnerability scanning, 7) GenAI for user story elaboration and acceptance criteria generation.</t>
  </si>
  <si>
    <t>AI-powered Anti-Money Laundering (AML) / Know Your Customer (KYC) platform with: 1) Advanced name matching algorithms using fuzzy logic and ML, 2) NLP for adverse media screening and analysis, 3) GenAI for Ongoing Customer Due Diligence (OCDD) / Enhanced Customer Due Diligence (ECDD) narrative generation and Suspicious Activity Report (SAR) writing, 4) ML models for transaction monitoring and pattern detection, 5) Network analysis for beneficial ownership mapping, 6) Risk scoring models using ensemble learning, 7) Integration with sanctions databases and regulatory reporting systems.</t>
  </si>
  <si>
    <t>Automated QA platform with: 1) ML models for anomaly and error pattern detection, 2) Rule-based validation engine with AI-enhanced rule generation, 3) Risk scoring algorithms for case prioritization, 4) GenAI for audit report generation and recommendations, 5) Data quality profiling with statistical analysis, 6) Real-time monitoring and alerting system, 7) Integration with regulatory compliance frameworks and data lineage tools.</t>
  </si>
  <si>
    <t>AI-powered fraud investigation platform with: 1) ML models for fraud detection and risk scoring, 2) GenAI for automated case summarization and evidence synthesis from multiple systems, 3) Graph analytics for relationship and pattern detection, 4) NLP for unstructured data analysis, 5) Real-time transaction monitoring, 6) Case management integration with automated evidence gathering, 7) Behavioral biometrics and device fingerprinting.</t>
  </si>
  <si>
    <t>Automated Know Your Customer (KYC) / onboarding platform with: 1) AI-powered ID verification using computer vision and liveness detection, 2) OCR and document classification for KYC document processing, 3) ML-based risk assessment models for customer profiling, 4) Integration with Fenergo/Fenx and Pega for workflow automation, 5) Sanctions and PEP screening using NLP, 6) Biometric authentication for identity verification, 7) Automated compliance validation and audit trail generation.</t>
  </si>
  <si>
    <t>Enterprise risk management platform with: 1) ML models for operational risk event prediction and loss forecasting, 2) Simulation for market and liquidity risk stress testing, 3) Anomaly detection algorithms for control effectiveness monitoring, 4) GenAI for risk narrative generation and regulatory report writing, 5) Real-time risk dashboard with predictive KRIs, 6) Network analysis for interconnected risk identification, 7) Integration with Governance, Risk, and Compliance (GRC) platforms for unified risk view.</t>
  </si>
  <si>
    <t>AIOps platform with: 1) NLP for automated ticket classification and intent detection, 2) ML-based intelligent routing using skill matching algorithms, 3) Similarity analysis for finding related incidents and solutions, 4) GenAI for automated response generation using knowledge base RAG, 5) Predictive analytics for SLA breach prevention, 6) RPA for automated resolution of common incidents, 7) Integration with ITSM (ServiceNow) and monitoring tools.</t>
  </si>
  <si>
    <t>Corporate and Investment Banking (CIB) relationship platform with: 1) LLM-powered corporate intelligence synthesis from financial statements and market data, 2) ML models for deal opportunity identification and pipeline forecasting, 3) GenAI for client briefing and sector report generation, 4) Network analysis for relationship mapping across corporate hierarchies, 5) Competitive intelligence dashboard with sentiment analysis, 6) RAG-based knowledge retrieval for relationship history, 7) Integration with CRM and deal management systems.</t>
  </si>
  <si>
    <t>Multi-agent procurement platform with: 1) Agentic AI orchestration for end-to-end procurement workflow automation, 2) ML models for spend analysis and sourcing optimization, 3) NLP for contract analysis and clause extraction, 4) GenAI for RFP generation and supplier communications, 5) Supplier risk scoring using predictive models, 6) OCR and automated invoice matching (3-way match), 7) Real-time spend analytics dashboard, 8) Integration with ERP and P2P systems.</t>
  </si>
  <si>
    <t>Automated dispute resolution platform with: 1) ML classifiers for dispute type identification (commercial vs fraud), 2) Rule-based decisioning engine for validity assessment aligned with card scheme rules, 3) RPA for automated evidence gathering and chargeback filing, 4) GenAI for dispute response generation and customer communication, 5) Predictive models for outcome forecasting, 6) Case management workflow automation, 7) Integration with card networks and core banking systems.</t>
  </si>
  <si>
    <t>Continuous controls monitoring platform with: 1) RPA for automated test execution across IT and business controls, 2) ML models for anomaly detection in control performance and transaction patterns, 3) Risk-based sampling algorithms for test selection optimization, 4) GenAI for test script generation from control descriptions, 5) Automated evidence collection and documentation, 6) Dashboard for real-time control effectiveness monitoring, 7) Integration with GRC systems and audit management platforms.</t>
  </si>
  <si>
    <t>End-to-end underwriting platform with: 1) AI-powered financial spreading and data extraction from unstructured documents, 2) ML models for credit rating calculation and PD/LGD estimation, 3) GenAI for credit memo generation and financial analysis narratives, 4) Real-time covenant monitoring using NLP on financial statements, 5) Workflow automation for deal approval process, 6) Pricing optimization models using market data and risk metrics, 7) Portfolio analytics dashboard with stress testing capabilities.</t>
  </si>
  <si>
    <t>AI-powered learning content platform with: 1) GenAI for automated lesson and quiz generation from source materials, 2) NLP for content summarization and key concept extraction, 3) ML recommendation engines for personalized learning path creation, 4) Automated assessment generation with adaptive difficulty, 5) Text-to-video/image generation for visual content, 6) Learner analytics for content effectiveness optimization, 7) Integration with LMS platforms for seamless delivery.</t>
  </si>
  <si>
    <t>AI-driven collections platform with: 1) ML models for payment propensity scoring and default prediction, 2) Optimization algorithms for account prioritization and resource allocation, 3) Reinforcement learning for contact strategy optimization, 4) GenAI for personalized communication generation, 5) Predictive models for optimal settlement offer calculation, 6) Customer segmentation using clustering algorithms, 7) Integration with debt management systems and communication channels</t>
  </si>
  <si>
    <t>Mobile-first personalization platform with: 1) GenAI for automated campaign strategy generation based on micro-segment analysis, 2) LLM-powered content variant creation for different personas and segments, 3) Computer vision and GenAI for image recommendation and generation, 4) Real-time personalization engine with contextual triggers, 5) A/B testing framework with ML-based variant optimization, 6) Deep learning recommendation models for product suggestions, 7) Integration with mobile app SDK and CDP for seamless delivery</t>
  </si>
  <si>
    <t>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</si>
</sst>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amily val="2"/>
    </font>
    <font>
      <b/>
      <i/>
      <sz val="11"/>
      <color rgb="FF0070C0"/>
      <name val="Calibri"/>
      <family val="2"/>
    </font>
    <font>
      <b/>
      <sz val="14"/>
      <color rgb="FF1F4E78"/>
      <name val="Calibri"/>
      <family val="2"/>
    </font>
    <font>
      <b/>
      <sz val="16"/>
      <color rgb="FF1F4E78"/>
      <name val="Calibri"/>
      <family val="2"/>
    </font>
    <font>
      <b/>
      <sz val="12"/>
      <name val="Calibri"/>
      <family val="2"/>
    </font>
    <font>
      <b/>
      <sz val="11"/>
      <name val="Calibri"/>
      <family val="2"/>
    </font>
    <font>
      <b/>
      <sz val="10"/>
      <color rgb="FFFFFFFF"/>
      <name val="Calibri"/>
      <family val="2"/>
    </font>
    <font>
      <sz val="10"/>
      <color theme="1"/>
      <name val="Calibri"/>
      <family val="2"/>
      <scheme val="minor"/>
    </font>
  </fonts>
  <fills count="8">
    <fill>
      <patternFill patternType="none"/>
    </fill>
    <fill>
      <patternFill patternType="gray125"/>
    </fill>
    <fill>
      <patternFill patternType="solid">
        <fgColor rgb="FF1F4E78"/>
        <bgColor rgb="FF1F4E78"/>
      </patternFill>
    </fill>
    <fill>
      <patternFill patternType="solid">
        <fgColor theme="4" tint="0.79998168889431442"/>
        <bgColor theme="4" tint="0.79998168889431442"/>
      </patternFill>
    </fill>
    <fill>
      <patternFill patternType="solid">
        <fgColor theme="3"/>
        <bgColor theme="4"/>
      </patternFill>
    </fill>
    <fill>
      <patternFill patternType="solid">
        <fgColor theme="3"/>
        <bgColor rgb="FF1F4E78"/>
      </patternFill>
    </fill>
    <fill>
      <patternFill patternType="solid">
        <fgColor theme="0" tint="-0.499984740745262"/>
        <bgColor rgb="FF1F4E78"/>
      </patternFill>
    </fill>
    <fill>
      <patternFill patternType="solid">
        <fgColor rgb="FF7030A0"/>
        <bgColor rgb="FF1F4E78"/>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op>
      <bottom/>
      <diagonal/>
    </border>
    <border>
      <left/>
      <right/>
      <top style="thin">
        <color theme="4"/>
      </top>
      <bottom style="thin">
        <color theme="4"/>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wrapText="1"/>
    </xf>
    <xf numFmtId="0" fontId="6" fillId="0" borderId="0" xfId="0" applyFont="1"/>
    <xf numFmtId="0" fontId="1" fillId="2" borderId="0" xfId="0" applyFont="1" applyFill="1"/>
    <xf numFmtId="0" fontId="0" fillId="0" borderId="0" xfId="0" applyAlignment="1">
      <alignment horizontal="center"/>
    </xf>
    <xf numFmtId="0" fontId="1" fillId="2" borderId="2" xfId="0" applyFont="1" applyFill="1" applyBorder="1" applyAlignment="1">
      <alignment horizontal="center" vertical="center" wrapText="1"/>
    </xf>
    <xf numFmtId="0" fontId="7" fillId="2" borderId="2" xfId="0" applyFont="1" applyFill="1" applyBorder="1" applyAlignment="1">
      <alignment horizontal="center" vertical="top" wrapText="1"/>
    </xf>
    <xf numFmtId="0" fontId="8" fillId="0" borderId="0" xfId="0" applyFont="1" applyAlignment="1">
      <alignment horizontal="center" vertical="top" wrapText="1"/>
    </xf>
    <xf numFmtId="0" fontId="8" fillId="0" borderId="0" xfId="0" applyFont="1" applyAlignment="1">
      <alignment vertical="top" wrapText="1"/>
    </xf>
    <xf numFmtId="0" fontId="8" fillId="0" borderId="3" xfId="0" applyFont="1" applyBorder="1" applyAlignment="1">
      <alignment horizontal="center" vertical="top" wrapText="1"/>
    </xf>
    <xf numFmtId="0" fontId="0" fillId="3" borderId="4" xfId="0" applyFill="1" applyBorder="1"/>
    <xf numFmtId="0" fontId="0" fillId="0" borderId="4" xfId="0" applyBorder="1"/>
    <xf numFmtId="0" fontId="1" fillId="0" borderId="2" xfId="0" applyFont="1" applyBorder="1" applyAlignment="1">
      <alignment horizontal="center" vertical="center" wrapText="1"/>
    </xf>
    <xf numFmtId="0" fontId="0" fillId="0" borderId="0" xfId="0" applyAlignment="1">
      <alignment vertical="top" wrapText="1"/>
    </xf>
    <xf numFmtId="0" fontId="1" fillId="0" borderId="2" xfId="0" applyFont="1" applyBorder="1" applyAlignment="1">
      <alignment horizontal="center" vertical="top" wrapText="1"/>
    </xf>
    <xf numFmtId="0" fontId="0" fillId="0" borderId="4" xfId="0" applyBorder="1" applyAlignment="1">
      <alignment vertical="top" wrapText="1"/>
    </xf>
    <xf numFmtId="0" fontId="0" fillId="0" borderId="0" xfId="0" applyAlignment="1">
      <alignment horizontal="center" vertical="top" wrapText="1"/>
    </xf>
    <xf numFmtId="2" fontId="0" fillId="0" borderId="0" xfId="0" applyNumberFormat="1" applyAlignment="1">
      <alignment horizontal="center" vertical="top" wrapText="1"/>
    </xf>
    <xf numFmtId="0" fontId="2" fillId="0" borderId="0" xfId="0" applyFont="1" applyAlignment="1">
      <alignment horizontal="left" vertical="top"/>
    </xf>
    <xf numFmtId="0" fontId="0" fillId="0" borderId="0" xfId="0" applyAlignment="1">
      <alignment wrapText="1"/>
    </xf>
    <xf numFmtId="0" fontId="1" fillId="2" borderId="0" xfId="0" applyFont="1" applyFill="1" applyAlignment="1">
      <alignment horizontal="center" vertical="center" wrapText="1"/>
    </xf>
    <xf numFmtId="0" fontId="3" fillId="0" borderId="0" xfId="0" applyFont="1" applyAlignment="1">
      <alignment vertical="top"/>
    </xf>
    <xf numFmtId="1" fontId="1" fillId="0" borderId="2" xfId="0" applyNumberFormat="1" applyFont="1" applyBorder="1" applyAlignment="1">
      <alignment horizontal="center" vertical="center" wrapText="1"/>
    </xf>
    <xf numFmtId="1" fontId="0" fillId="0" borderId="0" xfId="0" applyNumberFormat="1" applyAlignment="1">
      <alignment horizontal="center"/>
    </xf>
    <xf numFmtId="0" fontId="8" fillId="0" borderId="5" xfId="0" applyFont="1" applyBorder="1" applyAlignment="1">
      <alignment horizontal="center" vertical="top" wrapText="1"/>
    </xf>
    <xf numFmtId="0" fontId="8" fillId="0" borderId="6" xfId="0" applyFont="1" applyBorder="1" applyAlignment="1">
      <alignment horizontal="center" vertical="top" wrapText="1"/>
    </xf>
    <xf numFmtId="0" fontId="0" fillId="0" borderId="0" xfId="0" applyAlignment="1">
      <alignment horizontal="center" wrapText="1"/>
    </xf>
    <xf numFmtId="0" fontId="8" fillId="0" borderId="5" xfId="0" applyFont="1" applyBorder="1" applyAlignment="1">
      <alignment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5" borderId="2" xfId="0" applyFont="1" applyFill="1" applyBorder="1" applyAlignment="1">
      <alignment horizontal="center" vertical="top" wrapText="1"/>
    </xf>
    <xf numFmtId="0" fontId="7" fillId="6" borderId="2" xfId="0" applyFont="1" applyFill="1" applyBorder="1" applyAlignment="1">
      <alignment horizontal="center" vertical="top" wrapText="1"/>
    </xf>
    <xf numFmtId="0" fontId="7" fillId="7" borderId="2" xfId="0" applyFont="1" applyFill="1" applyBorder="1" applyAlignment="1">
      <alignment horizontal="center" vertical="top" wrapText="1"/>
    </xf>
    <xf numFmtId="0" fontId="5" fillId="0" borderId="0" xfId="0" applyFont="1"/>
    <xf numFmtId="0" fontId="0" fillId="0" borderId="0" xfId="0"/>
    <xf numFmtId="0" fontId="4" fillId="0" borderId="0" xfId="0" applyFont="1" applyAlignment="1">
      <alignment horizontal="center" vertical="center"/>
    </xf>
    <xf numFmtId="0" fontId="2" fillId="0" borderId="0" xfId="0" applyFont="1" applyAlignment="1">
      <alignment horizontal="left" vertical="center" wrapText="1"/>
    </xf>
  </cellXfs>
  <cellStyles count="1">
    <cellStyle name="Normal" xfId="0" builtinId="0"/>
  </cellStyles>
  <dxfs count="74">
    <dxf>
      <font>
        <strike val="0"/>
        <outline val="0"/>
        <shadow val="0"/>
        <u val="none"/>
        <vertAlign val="baseline"/>
        <sz val="10"/>
        <name val="Calibri"/>
        <family val="2"/>
      </font>
      <alignment vertical="top" textRotation="0" wrapText="1" justifyLastLine="0" shrinkToFit="0" readingOrder="0"/>
    </dxf>
    <dxf>
      <font>
        <b/>
        <i val="0"/>
        <strike val="0"/>
        <condense val="0"/>
        <extend val="0"/>
        <outline val="0"/>
        <shadow val="0"/>
        <u val="none"/>
        <vertAlign val="baseline"/>
        <sz val="10"/>
        <color rgb="FFFFFFFF"/>
        <name val="Calibri"/>
        <family val="2"/>
        <scheme val="none"/>
      </font>
      <fill>
        <patternFill patternType="solid">
          <fgColor rgb="FF1F4E78"/>
          <bgColor theme="3"/>
        </patternFill>
      </fill>
      <alignment horizontal="center" vertical="top" textRotation="0" wrapText="1" indent="0" justifyLastLine="0" shrinkToFit="0" readingOrder="0"/>
      <border diagonalUp="0" diagonalDown="0">
        <left style="thin">
          <color auto="1"/>
        </left>
        <right style="thin">
          <color auto="1"/>
        </right>
        <top/>
        <bottom/>
      </border>
    </dxf>
    <dxf>
      <font>
        <strike val="0"/>
        <outline val="0"/>
        <shadow val="0"/>
        <u val="none"/>
        <vertAlign val="baseline"/>
        <sz val="10"/>
        <name val="Calibri"/>
        <family val="2"/>
      </font>
      <alignment vertical="top" textRotation="0" wrapText="1"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top"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border diagonalUp="0" diagonalDown="0">
        <left/>
        <right/>
        <top style="thin">
          <color theme="4"/>
        </top>
        <bottom/>
      </border>
    </dxf>
    <dxf>
      <font>
        <b val="0"/>
        <i val="0"/>
        <strike val="0"/>
        <condense val="0"/>
        <extend val="0"/>
        <outline val="0"/>
        <shadow val="0"/>
        <u val="none"/>
        <vertAlign val="baseline"/>
        <sz val="10"/>
        <color theme="1"/>
        <name val="Calibri"/>
        <family val="2"/>
        <scheme val="minor"/>
      </font>
      <alignment horizontal="center" vertical="top" textRotation="0" wrapText="1"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solid">
          <fgColor rgb="FFFF0000"/>
          <bgColor rgb="FFFF0000"/>
        </patternFill>
      </fill>
    </dxf>
    <dxf>
      <fill>
        <patternFill patternType="solid">
          <fgColor rgb="FF92D050"/>
          <bgColor rgb="FF92D050"/>
        </patternFill>
      </fill>
    </dxf>
    <dxf>
      <fill>
        <patternFill patternType="solid">
          <fgColor rgb="FFFFC000"/>
          <bgColor rgb="FFFFC000"/>
        </patternFill>
      </fill>
    </dxf>
    <dxf>
      <fill>
        <patternFill patternType="solid">
          <fgColor rgb="FF00B050"/>
          <bgColor rgb="FF00B050"/>
        </patternFill>
      </fill>
    </dxf>
    <dxf>
      <fill>
        <patternFill patternType="solid">
          <fgColor rgb="FFFFFF00"/>
          <bgColor rgb="FFFFFF00"/>
        </patternFill>
      </fill>
    </dxf>
    <dxf>
      <fill>
        <patternFill patternType="solid">
          <fgColor rgb="FF92D050"/>
          <bgColor rgb="FF92D050"/>
        </patternFill>
      </fill>
    </dxf>
    <dxf>
      <fill>
        <patternFill patternType="solid">
          <fgColor rgb="FF00B050"/>
          <bgColor rgb="FF00B050"/>
        </patternFill>
      </fill>
    </dxf>
    <dxf>
      <fill>
        <patternFill patternType="solid">
          <fgColor rgb="FFFFC7CE"/>
          <bgColor rgb="FFFFC7CE"/>
        </patternFill>
      </fill>
    </dxf>
    <dxf>
      <fill>
        <patternFill patternType="solid">
          <fgColor rgb="FFC6EFCE"/>
          <bgColor rgb="FFC6EFCE"/>
        </patternFill>
      </fill>
    </dxf>
    <dxf>
      <border outline="0">
        <bottom style="thin">
          <color auto="1"/>
        </bottom>
      </border>
    </dxf>
    <dxf>
      <alignment horizontal="center" textRotation="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alignment horizontal="center" textRotation="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family val="2"/>
        <scheme val="none"/>
      </font>
      <fill>
        <patternFill patternType="solid">
          <fgColor rgb="FF1F4E78"/>
          <bgColor rgb="FF1F4E78"/>
        </patternFill>
      </fill>
      <alignment horizontal="center" vertical="center" textRotation="0" wrapText="1" indent="0" justifyLastLine="0" shrinkToFit="0" readingOrder="0"/>
      <border diagonalUp="0" diagonalDown="0" outline="0">
        <left style="thin">
          <color auto="1"/>
        </left>
        <right style="thin">
          <color auto="1"/>
        </right>
        <top/>
        <bottom/>
      </border>
    </dxf>
    <dxf>
      <fill>
        <patternFill patternType="none">
          <bgColor auto="1"/>
        </patternFill>
      </fill>
      <alignment horizontal="center" vertical="top" textRotation="0" wrapText="1" indent="0" justifyLastLine="0" shrinkToFit="0" readingOrder="0"/>
    </dxf>
    <dxf>
      <numFmt numFmtId="2" formatCode="0.00"/>
      <fill>
        <patternFill patternType="none">
          <bgColor auto="1"/>
        </patternFill>
      </fill>
      <alignment horizontal="center" vertical="top" textRotation="0" wrapText="1" indent="0" justifyLastLine="0" shrinkToFit="0" readingOrder="0"/>
    </dxf>
    <dxf>
      <fill>
        <patternFill patternType="none">
          <bgColor auto="1"/>
        </patternFill>
      </fill>
      <alignment horizontal="center" vertical="top" textRotation="0" wrapText="1" indent="0" justifyLastLine="0" shrinkToFit="0" readingOrder="0"/>
    </dxf>
    <dxf>
      <fill>
        <patternFill patternType="none">
          <bgColor auto="1"/>
        </patternFill>
      </fill>
      <alignment horizontal="center" vertical="top" textRotation="0" wrapText="1" indent="0" justifyLastLine="0" shrinkToFit="0" readingOrder="0"/>
    </dxf>
    <dxf>
      <fill>
        <patternFill patternType="none">
          <bgColor auto="1"/>
        </patternFill>
      </fill>
      <alignment horizontal="center" vertical="top" textRotation="0" wrapText="1" indent="0" justifyLastLine="0" shrinkToFit="0" readingOrder="0"/>
    </dxf>
    <dxf>
      <fill>
        <patternFill patternType="none">
          <bgColor auto="1"/>
        </patternFill>
      </fill>
      <alignment horizontal="center" vertical="top" textRotation="0" wrapText="1" indent="0" justifyLastLine="0" shrinkToFit="0" readingOrder="0"/>
    </dxf>
    <dxf>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theme="4" tint="0.79998168889431442"/>
          <bgColor auto="1"/>
        </patternFill>
      </fill>
      <alignment vertical="top" textRotation="0" wrapText="1"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vertical="top" textRotation="0" wrapText="1" justifyLastLine="0" shrinkToFit="0" readingOrder="0"/>
    </dxf>
    <dxf>
      <border outline="0">
        <top style="thin">
          <color auto="1"/>
        </top>
      </border>
    </dxf>
    <dxf>
      <fill>
        <patternFill patternType="none">
          <bgColor auto="1"/>
        </patternFill>
      </fill>
      <alignment vertical="top" textRotation="0" wrapText="1" justifyLastLine="0" shrinkToFit="0" readingOrder="0"/>
    </dxf>
    <dxf>
      <border outline="0">
        <bottom style="thin">
          <color auto="1"/>
        </bottom>
      </border>
    </dxf>
    <dxf>
      <font>
        <b/>
        <i val="0"/>
        <strike val="0"/>
        <condense val="0"/>
        <extend val="0"/>
        <outline val="0"/>
        <shadow val="0"/>
        <u val="none"/>
        <vertAlign val="baseline"/>
        <sz val="11"/>
        <color rgb="FFFFFFFF"/>
        <name val="Calibri"/>
        <family val="2"/>
        <scheme val="none"/>
      </font>
      <fill>
        <patternFill patternType="none">
          <fgColor rgb="FF1F4E78"/>
          <bgColor auto="1"/>
        </patternFill>
      </fill>
      <alignment horizontal="center" vertical="top" textRotation="0" wrapText="1" indent="0" justifyLastLine="0" shrinkToFit="0" readingOrder="0"/>
      <border diagonalUp="0" diagonalDown="0">
        <left style="thin">
          <color auto="1"/>
        </left>
        <right style="thin">
          <color auto="1"/>
        </right>
        <top/>
        <bottom/>
      </border>
    </dxf>
    <dxf>
      <fill>
        <patternFill patternType="none">
          <bgColor auto="1"/>
        </patternFill>
      </fill>
    </dxf>
    <dxf>
      <numFmt numFmtId="0" formatCode="General"/>
      <fill>
        <patternFill patternType="none">
          <bgColor auto="1"/>
        </patternFill>
      </fill>
      <alignment horizontal="center" textRotation="0" indent="0" justifyLastLine="0" shrinkToFit="0" readingOrder="0"/>
    </dxf>
    <dxf>
      <numFmt numFmtId="1" formatCode="0"/>
      <fill>
        <patternFill patternType="none">
          <bgColor auto="1"/>
        </patternFill>
      </fill>
      <alignment horizontal="center" vertical="bottom" textRotation="0" wrapText="0" indent="0" justifyLastLine="0" shrinkToFit="0" readingOrder="0"/>
    </dxf>
    <dxf>
      <numFmt numFmtId="1" formatCode="0"/>
      <fill>
        <patternFill patternType="none">
          <bgColor auto="1"/>
        </patternFill>
      </fill>
      <alignment horizontal="center" vertical="bottom" textRotation="0" wrapText="0" indent="0" justifyLastLine="0" shrinkToFit="0" readingOrder="0"/>
    </dxf>
    <dxf>
      <numFmt numFmtId="1" formatCode="0"/>
      <fill>
        <patternFill patternType="none">
          <bgColor auto="1"/>
        </patternFill>
      </fill>
      <alignment horizontal="center" vertical="bottom" textRotation="0" wrapText="0" indent="0" justifyLastLine="0" shrinkToFit="0" readingOrder="0"/>
    </dxf>
    <dxf>
      <numFmt numFmtId="1" formatCode="0"/>
      <fill>
        <patternFill patternType="none">
          <bgColor auto="1"/>
        </patternFill>
      </fill>
      <alignment horizontal="center" vertical="bottom" textRotation="0" wrapText="0" indent="0" justifyLastLine="0" shrinkToFit="0" readingOrder="0"/>
    </dxf>
    <dxf>
      <numFmt numFmtId="0" formatCode="General"/>
      <fill>
        <patternFill patternType="none">
          <bgColor auto="1"/>
        </patternFill>
      </fill>
    </dxf>
    <dxf>
      <font>
        <b val="0"/>
        <i val="0"/>
        <strike val="0"/>
        <condense val="0"/>
        <extend val="0"/>
        <outline val="0"/>
        <shadow val="0"/>
        <u val="none"/>
        <vertAlign val="baseline"/>
        <sz val="10"/>
        <color theme="1"/>
        <name val="Calibri"/>
        <family val="2"/>
        <scheme val="minor"/>
      </font>
      <fill>
        <patternFill patternType="none">
          <bgColor auto="1"/>
        </patternFill>
      </fill>
      <alignment horizontal="center" vertical="top"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border outline="0">
        <top style="thin">
          <color auto="1"/>
        </top>
      </border>
    </dxf>
    <dxf>
      <fill>
        <patternFill patternType="none">
          <bgColor auto="1"/>
        </patternFill>
      </fill>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family val="2"/>
        <scheme val="none"/>
      </font>
      <fill>
        <patternFill patternType="none">
          <fgColor rgb="FF1F4E78"/>
          <bgColor auto="1"/>
        </patternFill>
      </fill>
      <alignment horizontal="center" vertical="center"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0"/>
        <name val="Calibri"/>
        <family val="2"/>
      </font>
      <numFmt numFmtId="0" formatCode="General"/>
      <alignment vertical="top" textRotation="0" wrapText="1" justifyLastLine="0" shrinkToFit="0" readingOrder="0"/>
    </dxf>
    <dxf>
      <font>
        <strike val="0"/>
        <outline val="0"/>
        <shadow val="0"/>
        <u val="none"/>
        <vertAlign val="baseline"/>
        <sz val="10"/>
        <name val="Calibri"/>
        <family val="2"/>
      </font>
      <numFmt numFmtId="0" formatCode="General"/>
      <alignment horizontal="center" vertical="top" textRotation="0" wrapText="1" indent="0" justifyLastLine="0" shrinkToFit="0" readingOrder="0"/>
    </dxf>
    <dxf>
      <font>
        <strike val="0"/>
        <outline val="0"/>
        <shadow val="0"/>
        <u val="none"/>
        <vertAlign val="baseline"/>
        <sz val="10"/>
        <name val="Calibri"/>
        <family val="2"/>
      </font>
      <numFmt numFmtId="0" formatCode="General"/>
      <alignment vertical="top" textRotation="0" wrapText="1" justifyLastLine="0" shrinkToFit="0" readingOrder="0"/>
    </dxf>
    <dxf>
      <font>
        <strike val="0"/>
        <outline val="0"/>
        <shadow val="0"/>
        <u val="none"/>
        <vertAlign val="baseline"/>
        <sz val="10"/>
        <name val="Calibri"/>
        <family val="2"/>
      </font>
      <alignment horizontal="center" vertical="top" textRotation="0" wrapText="1" indent="0" justifyLastLine="0" shrinkToFit="0" readingOrder="0"/>
    </dxf>
    <dxf>
      <font>
        <strike val="0"/>
        <outline val="0"/>
        <shadow val="0"/>
        <u val="none"/>
        <vertAlign val="baseline"/>
        <sz val="10"/>
        <name val="Calibri"/>
        <family val="2"/>
      </font>
      <numFmt numFmtId="0" formatCode="General"/>
      <alignment vertical="top" textRotation="0" wrapText="1" justifyLastLine="0" shrinkToFit="0" readingOrder="0"/>
    </dxf>
    <dxf>
      <font>
        <strike val="0"/>
        <outline val="0"/>
        <shadow val="0"/>
        <u val="none"/>
        <vertAlign val="baseline"/>
        <sz val="10"/>
        <name val="Calibri"/>
        <family val="2"/>
      </font>
      <alignment horizontal="center" vertical="top" textRotation="0" wrapText="1" indent="0" justifyLastLine="0" shrinkToFit="0" readingOrder="0"/>
    </dxf>
    <dxf>
      <font>
        <strike val="0"/>
        <outline val="0"/>
        <shadow val="0"/>
        <u val="none"/>
        <vertAlign val="baseline"/>
        <sz val="10"/>
        <name val="Calibri"/>
        <family val="2"/>
      </font>
      <numFmt numFmtId="0" formatCode="General"/>
      <alignment vertical="top" textRotation="0" wrapText="1" justifyLastLine="0" shrinkToFit="0" readingOrder="0"/>
    </dxf>
    <dxf>
      <font>
        <strike val="0"/>
        <outline val="0"/>
        <shadow val="0"/>
        <u val="none"/>
        <vertAlign val="baseline"/>
        <sz val="10"/>
        <name val="Calibri"/>
        <family val="2"/>
      </font>
      <alignment horizontal="center" vertical="top" textRotation="0" wrapText="1" indent="0" justifyLastLine="0" shrinkToFit="0" readingOrder="0"/>
    </dxf>
    <dxf>
      <font>
        <strike val="0"/>
        <outline val="0"/>
        <shadow val="0"/>
        <u val="none"/>
        <vertAlign val="baseline"/>
        <sz val="10"/>
        <name val="Calibri"/>
        <family val="2"/>
      </font>
      <alignment vertical="top" textRotation="0" wrapText="1"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font>
      <alignment vertical="top" textRotation="0" wrapText="1" justifyLastLine="0" shrinkToFit="0" readingOrder="0"/>
    </dxf>
    <dxf>
      <font>
        <strike val="0"/>
        <outline val="0"/>
        <shadow val="0"/>
        <u val="none"/>
        <vertAlign val="baseline"/>
        <sz val="10"/>
        <name val="Calibri"/>
        <family val="2"/>
      </font>
      <alignment vertical="top" textRotation="0" wrapText="1" justifyLastLine="0" shrinkToFit="0" readingOrder="0"/>
    </dxf>
    <dxf>
      <font>
        <strike val="0"/>
        <outline val="0"/>
        <shadow val="0"/>
        <u val="none"/>
        <vertAlign val="baseline"/>
        <sz val="10"/>
        <name val="Calibri"/>
        <family val="2"/>
      </font>
      <alignment horizontal="center" vertical="top" textRotation="0" wrapText="1" indent="0" justifyLastLine="0" shrinkToFit="0" readingOrder="0"/>
    </dxf>
    <dxf>
      <border outline="0">
        <top style="thin">
          <color auto="1"/>
        </top>
      </border>
    </dxf>
    <dxf>
      <font>
        <strike val="0"/>
        <outline val="0"/>
        <shadow val="0"/>
        <u val="none"/>
        <vertAlign val="baseline"/>
        <sz val="10"/>
        <name val="Calibri"/>
        <family val="2"/>
      </font>
      <alignment vertical="top" textRotation="0" wrapText="1" justifyLastLine="0" shrinkToFit="0" readingOrder="0"/>
    </dxf>
    <dxf>
      <border outline="0">
        <bottom style="thin">
          <color auto="1"/>
        </bottom>
      </border>
    </dxf>
    <dxf>
      <font>
        <b/>
        <i val="0"/>
        <strike val="0"/>
        <condense val="0"/>
        <extend val="0"/>
        <outline val="0"/>
        <shadow val="0"/>
        <u val="none"/>
        <vertAlign val="baseline"/>
        <sz val="10"/>
        <color rgb="FFFFFFFF"/>
        <name val="Calibri"/>
        <family val="2"/>
        <scheme val="none"/>
      </font>
      <fill>
        <patternFill patternType="solid">
          <fgColor rgb="FF1F4E78"/>
          <bgColor rgb="FF1F4E78"/>
        </patternFill>
      </fill>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93115A-CA34-4428-B7BF-6E69796D2847}" name="use_cases" displayName="use_cases" ref="A1:M25" totalsRowShown="0" headerRowDxfId="73" dataDxfId="71" headerRowBorderDxfId="72" tableBorderDxfId="70">
  <autoFilter ref="A1:M25" xr:uid="{B993115A-CA34-4428-B7BF-6E69796D2847}"/>
  <tableColumns count="13">
    <tableColumn id="1" xr3:uid="{C27DFBE3-E56F-4098-8C69-F737AD640FE6}" name="ID" dataDxfId="69"/>
    <tableColumn id="2" xr3:uid="{49F9EF52-4C93-49D0-ADBD-8A0B053D821C}" name="Name" dataDxfId="68"/>
    <tableColumn id="3" xr3:uid="{48B17722-DA32-48EE-A927-40778074C3B7}" name="Summary" dataDxfId="67"/>
    <tableColumn id="13" xr3:uid="{BFCEFB5F-AD16-4E5A-A2DF-6FB5CF8C1EDC}" name="Description" dataDxfId="66"/>
    <tableColumn id="8" xr3:uid="{FFC229E2-CDC8-4015-9521-82F5BFCD326B}" name="Benefits" dataDxfId="65"/>
    <tableColumn id="4" xr3:uid="{970441AB-CF4F-4068-9C20-DADC6A65366D}" name="Business Value" dataDxfId="64"/>
    <tableColumn id="5" xr3:uid="{2DE4F592-FE0C-441F-ABE3-C522C26E67F9}" name="Business Value Description" dataDxfId="63">
      <calculatedColumnFormula>VLOOKUP(use_cases[[#This Row],[Business Value]],BusinessValueTable,3,FALSE)</calculatedColumnFormula>
    </tableColumn>
    <tableColumn id="6" xr3:uid="{55D60983-9668-4D31-BCFB-534C0F3BB4EB}" name="Desirability" dataDxfId="62"/>
    <tableColumn id="7" xr3:uid="{AAC678B2-77BC-40FE-B4E2-D06152FB8B57}" name="Desirability Description" dataDxfId="61">
      <calculatedColumnFormula>VLOOKUP(use_cases[[#This Row],[Desirability]],DesirabilityTable,3,FALSE)</calculatedColumnFormula>
    </tableColumn>
    <tableColumn id="9" xr3:uid="{8DD617B4-4ECA-4060-924B-7DA3894FA525}" name="Viability" dataDxfId="60"/>
    <tableColumn id="10" xr3:uid="{C243F31B-E9C4-4584-9012-69891325E87C}" name="Viability Description" dataDxfId="59">
      <calculatedColumnFormula>VLOOKUP(use_cases[[#This Row],[Viability]],ViabilityTable,3,FALSE)</calculatedColumnFormula>
    </tableColumn>
    <tableColumn id="11" xr3:uid="{01E485E0-B68E-4C60-85B5-D50DED4048CF}" name="Feasibility" dataDxfId="58"/>
    <tableColumn id="12" xr3:uid="{1E2D0964-BF6B-4D6B-9F56-2D3A8E84FEE3}" name="Feasibility Description" dataDxfId="57">
      <calculatedColumnFormula>VLOOKUP(use_cases[[#This Row],[Feasibility]],FeasibilityTable,3,FALSE)</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AA4B40-34EC-452E-B148-AAAE8E09DFA5}" name="DVF_Filtering" displayName="DVF_Filtering" ref="A2:H26" totalsRowShown="0" headerRowDxfId="56" dataDxfId="54" headerRowBorderDxfId="55" tableBorderDxfId="53">
  <autoFilter ref="A2:H26" xr:uid="{69AA4B40-34EC-452E-B148-AAAE8E09DFA5}"/>
  <tableColumns count="8">
    <tableColumn id="1" xr3:uid="{4C03ED8F-C840-4C62-B1DC-13B3903B925B}" name="ID" dataDxfId="52"/>
    <tableColumn id="2" xr3:uid="{025206FE-6D75-4B27-B520-C8C387318A71}" name="Name" dataDxfId="51">
      <calculatedColumnFormula>VLOOKUP(DVF_Filtering[[#This Row],[ID]],'2. Use Cases'!A:B,2,FALSE)</calculatedColumnFormula>
    </tableColumn>
    <tableColumn id="3" xr3:uid="{7B91F164-2595-4111-858A-11D2462BFC96}" name="Desirability (1-5)" dataDxfId="50">
      <calculatedColumnFormula>VLOOKUP('2. Use Cases'!H2,DesirabilityTable,2,FALSE)</calculatedColumnFormula>
    </tableColumn>
    <tableColumn id="4" xr3:uid="{94C45984-8574-4B68-82D6-9CB3A37384F4}" name="Viability (1-5)" dataDxfId="49">
      <calculatedColumnFormula>VLOOKUP('2. Use Cases'!J2,ViabilityTable,2,FALSE)</calculatedColumnFormula>
    </tableColumn>
    <tableColumn id="5" xr3:uid="{F58559A3-9BD2-4987-93EF-3FE2222B7790}" name="Feasibility (1-5)" dataDxfId="48">
      <calculatedColumnFormula>VLOOKUP('2. Use Cases'!L2,FeasibilityTable,2,FALSE)</calculatedColumnFormula>
    </tableColumn>
    <tableColumn id="6" xr3:uid="{78370348-6054-4A51-B780-F9E6AE2B9014}" name="DVF Total" dataDxfId="47">
      <calculatedColumnFormula>SUM(DVF_Filtering[[#This Row],[Desirability (1-5)]:[Feasibility (1-5)]])</calculatedColumnFormula>
    </tableColumn>
    <tableColumn id="7" xr3:uid="{26E524F9-2F4E-4219-AF5C-1731561ED336}" name="DVF Status" dataDxfId="46">
      <calculatedColumnFormula>IF(AND(_xlfn.NUMBERVALUE(C3) &gt;= 3,_xlfn.NUMBERVALUE(D3) &gt;= 3,_xlfn.NUMBERVALUE(E3) &gt;=3),"Pass","Fail")</calculatedColumnFormula>
    </tableColumn>
    <tableColumn id="8" xr3:uid="{8568EF1D-D4D1-4813-9EF0-BF452435FEAC}" name="Notes" dataDxfId="4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B205C2-A75A-4DD4-931E-8ECC1CE54DC3}" name="Table4" displayName="Table4" ref="A2:I26" totalsRowShown="0" headerRowDxfId="44" dataDxfId="42" headerRowBorderDxfId="43" tableBorderDxfId="41">
  <autoFilter ref="A2:I26" xr:uid="{6CB205C2-A75A-4DD4-931E-8ECC1CE54DC3}"/>
  <tableColumns count="9">
    <tableColumn id="1" xr3:uid="{31B521FF-D63A-4B94-887D-1CDA7A971DED}" name="ID" dataDxfId="40">
      <calculatedColumnFormula>'2. Use Cases'!A2</calculatedColumnFormula>
    </tableColumn>
    <tableColumn id="2" xr3:uid="{9693B36E-6601-40CF-B104-972FA5E6344C}" name="Name" dataDxfId="39">
      <calculatedColumnFormula>VLOOKUP(DVF_Filtering[[#This Row],[ID]],'2. Use Cases'!A:B,2,FALSE)</calculatedColumnFormula>
    </tableColumn>
    <tableColumn id="3" xr3:uid="{4F814F23-F4F5-455E-AFDB-CCCF67EC41FE}" name="Business Value" dataDxfId="38">
      <calculatedColumnFormula>VLOOKUP('2. Use Cases'!F2,BusinessValueTable,2,FALSE)</calculatedColumnFormula>
    </tableColumn>
    <tableColumn id="4" xr3:uid="{96350982-2F94-40AD-B0E2-DE5C2766B5B1}" name="Time Criticality" dataDxfId="37"/>
    <tableColumn id="5" xr3:uid="{F070A0B0-A1F6-4CBE-8E78-3014DFF9EE9B}" name="Risk Reduction / Opptunity Enable" dataDxfId="36"/>
    <tableColumn id="6" xr3:uid="{C9E1C58F-B6F8-4434-8705-3AF6DF70C035}" name="Cost of Delay" dataDxfId="35">
      <calculatedColumnFormula>C3+D3+E3</calculatedColumnFormula>
    </tableColumn>
    <tableColumn id="7" xr3:uid="{3EECE21D-D761-4D39-8948-447C5522DCC0}" name="Initiative Size" dataDxfId="34"/>
    <tableColumn id="8" xr3:uid="{A26E9191-7F21-4C79-93C3-F8A777522F96}" name="WSJF Score" dataDxfId="33">
      <calculatedColumnFormula>IF(G3&gt;0,F3/G3,0)</calculatedColumnFormula>
    </tableColumn>
    <tableColumn id="9" xr3:uid="{3C9E7CD3-8532-4E2F-B1E4-CF9A07364BF6}" name="WSJF Rank" dataDxfId="32">
      <calculatedColumnFormula>IF(H3&gt;0,RANK(H3,H$3:H$25,0),"")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6CDE25-FED5-4FE5-8581-963C0E2961E1}" name="Table5" displayName="Table5" ref="A2:L26" totalsRowShown="0" headerRowDxfId="31" headerRowBorderDxfId="30" tableBorderDxfId="29">
  <autoFilter ref="A2:L26" xr:uid="{F76CDE25-FED5-4FE5-8581-963C0E2961E1}"/>
  <tableColumns count="12">
    <tableColumn id="1" xr3:uid="{D562F4EC-12B6-4B11-9794-009687B3FD41}" name="ID" dataDxfId="28">
      <calculatedColumnFormula>'2. Use Cases'!A2</calculatedColumnFormula>
    </tableColumn>
    <tableColumn id="2" xr3:uid="{A7AE7006-B349-42DB-A0AC-A34A7F3259BE}" name="Name" dataDxfId="27">
      <calculatedColumnFormula>VLOOKUP(DVF_Filtering[[#This Row],[ID]],'2. Use Cases'!A:B,2,FALSE)</calculatedColumnFormula>
    </tableColumn>
    <tableColumn id="3" xr3:uid="{051DF4F4-6B79-47C7-8834-0D75695E3DCD}" name="WSJF Rank" dataDxfId="26">
      <calculatedColumnFormula>'4. WSJF Scoring'!I3</calculatedColumnFormula>
    </tableColumn>
    <tableColumn id="4" xr3:uid="{E7CBA6D5-3320-414A-916E-69E592D41127}" name="Cost of Delay" dataDxfId="25">
      <calculatedColumnFormula>'4. WSJF Scoring'!F3</calculatedColumnFormula>
    </tableColumn>
    <tableColumn id="5" xr3:uid="{6D7FDB55-EFF8-40B0-85FC-8F3840B09E3C}" name="Iniative Size" dataDxfId="24">
      <calculatedColumnFormula>'4. WSJF Scoring'!G3</calculatedColumnFormula>
    </tableColumn>
    <tableColumn id="6" xr3:uid="{078BEB40-58DF-4434-8BF3-137293A73B07}" name="Value Tier" dataDxfId="23">
      <calculatedColumnFormula>IF(D3&gt;=30,"High",IF(D3&gt;=15,"Medium","Low"))</calculatedColumnFormula>
    </tableColumn>
    <tableColumn id="7" xr3:uid="{05A9F24F-565D-4E73-8C2D-5715AB7E93D1}" name="Effort Tier" dataDxfId="22">
      <calculatedColumnFormula>IF(E3&gt;=13,"High",IF(E3&gt;=5,"Medium","Low"))</calculatedColumnFormula>
    </tableColumn>
    <tableColumn id="8" xr3:uid="{8868D876-603E-4CCB-B20E-C4A3A8466149}" name="Quadrant" dataDxfId="21">
      <calculatedColumnFormula>IF(F3="High",IF(G3="Low","Quick Win","Strategic Bet"),IF(F3="Medium","Fill-in","Avoid"))</calculatedColumnFormula>
    </tableColumn>
    <tableColumn id="9" xr3:uid="{C1855C65-61D0-4B96-BCB9-B96DE1B0AA28}" name="Wave" dataDxfId="20">
      <calculatedColumnFormula>'5. Dependencies Schedule'!G3</calculatedColumnFormula>
    </tableColumn>
    <tableColumn id="10" xr3:uid="{9903C8FE-F077-4D57-9C33-0B4B411CC102}" name="Top 10" dataDxfId="19"/>
    <tableColumn id="11" xr3:uid="{BCE3D67E-BECA-4DC5-B57D-954B2580A507}" name="Top 5" dataDxfId="18"/>
    <tableColumn id="12" xr3:uid="{E74006A4-48DB-4160-9950-02A636D0F099}"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CA95D5-EE46-4AAC-BFD2-469DEAB99CE8}" name="Table6" displayName="Table6" ref="A1:F25" totalsRowShown="0" headerRowDxfId="1" dataDxfId="0" headerRowBorderDxfId="17">
  <autoFilter ref="A1:F25" xr:uid="{C1CA95D5-EE46-4AAC-BFD2-469DEAB99CE8}"/>
  <tableColumns count="6">
    <tableColumn id="1" xr3:uid="{5BB58CCA-9BEC-4FEC-989B-5FA2D7CADA9D}" name="ID" dataDxfId="7"/>
    <tableColumn id="2" xr3:uid="{852C0843-8512-414E-A988-36C8CC486884}" name="Name" dataDxfId="6">
      <calculatedColumnFormula>VLOOKUP(A2,'2. Use Cases'!A:B,2,FALSE)</calculatedColumnFormula>
    </tableColumn>
    <tableColumn id="3" xr3:uid="{0AB2C842-758F-4BB1-B529-2202DF5E73D6}" name="AI Type" dataDxfId="5"/>
    <tableColumn id="4" xr3:uid="{57DB4C23-00FD-4007-AC67-99ACB13D5731}" name="Category" dataDxfId="4"/>
    <tableColumn id="5" xr3:uid="{E8C19904-991F-4DB1-9680-5802D488BAA0}" name="Strategic Theme" dataDxfId="3"/>
    <tableColumn id="6" xr3:uid="{906E3832-D943-4F96-8FBF-AC6DEFDE06CC}" name="Solution" dataDxfId="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7"/>
  <sheetViews>
    <sheetView showGridLines="0" workbookViewId="0">
      <selection activeCell="F16" sqref="F16"/>
    </sheetView>
  </sheetViews>
  <sheetFormatPr defaultRowHeight="15" x14ac:dyDescent="0.25"/>
  <cols>
    <col min="1" max="1" width="25" customWidth="1"/>
    <col min="2" max="2" width="15" customWidth="1"/>
    <col min="3" max="3" width="5" customWidth="1"/>
    <col min="4" max="4" width="10" customWidth="1"/>
    <col min="5" max="5" width="12" customWidth="1"/>
    <col min="6" max="6" width="35" customWidth="1"/>
  </cols>
  <sheetData>
    <row r="1" spans="1:6" ht="24.95" customHeight="1" x14ac:dyDescent="0.25">
      <c r="A1" s="35" t="s">
        <v>169</v>
      </c>
      <c r="B1" s="34"/>
      <c r="C1" s="34"/>
      <c r="D1" s="34"/>
      <c r="E1" s="34"/>
      <c r="F1" s="34"/>
    </row>
    <row r="3" spans="1:6" ht="15.75" x14ac:dyDescent="0.25">
      <c r="A3" s="33" t="s">
        <v>170</v>
      </c>
      <c r="B3" s="34"/>
      <c r="D3" s="33" t="s">
        <v>171</v>
      </c>
      <c r="E3" s="34"/>
      <c r="F3" s="34"/>
    </row>
    <row r="4" spans="1:6" x14ac:dyDescent="0.25">
      <c r="A4" s="2" t="s">
        <v>172</v>
      </c>
      <c r="B4">
        <f>COUNTA('2. Use Cases'!A2:A25)</f>
        <v>24</v>
      </c>
      <c r="D4" s="3" t="s">
        <v>173</v>
      </c>
      <c r="E4" s="3" t="s">
        <v>0</v>
      </c>
      <c r="F4" s="3" t="s">
        <v>1</v>
      </c>
    </row>
    <row r="5" spans="1:6" x14ac:dyDescent="0.25">
      <c r="A5" s="2" t="s">
        <v>174</v>
      </c>
      <c r="B5">
        <f>COUNTIF('3. DVF Filtering'!G2:G25,"Pass")</f>
        <v>0</v>
      </c>
      <c r="D5">
        <f>1</f>
        <v>1</v>
      </c>
    </row>
    <row r="6" spans="1:6" x14ac:dyDescent="0.25">
      <c r="A6" s="2" t="s">
        <v>175</v>
      </c>
      <c r="B6">
        <f>COUNTIF('3. DVF Filtering'!G2:G25,"Fail")</f>
        <v>23</v>
      </c>
      <c r="D6">
        <f>2</f>
        <v>2</v>
      </c>
    </row>
    <row r="7" spans="1:6" x14ac:dyDescent="0.25">
      <c r="A7" s="2" t="s">
        <v>176</v>
      </c>
      <c r="B7">
        <f>COUNTIF('6. Portfolio View'!J2:J25,TRUE)</f>
        <v>0</v>
      </c>
      <c r="D7">
        <f>3</f>
        <v>3</v>
      </c>
    </row>
    <row r="8" spans="1:6" x14ac:dyDescent="0.25">
      <c r="A8" s="2" t="s">
        <v>177</v>
      </c>
      <c r="B8">
        <f>COUNTIF('6. Portfolio View'!K2:K25,TRUE)</f>
        <v>0</v>
      </c>
      <c r="D8">
        <f>4</f>
        <v>4</v>
      </c>
    </row>
    <row r="9" spans="1:6" x14ac:dyDescent="0.25">
      <c r="A9" s="2" t="s">
        <v>178</v>
      </c>
      <c r="B9">
        <f>COUNTIF('5. Dependencies Schedule'!G2:G25,"Wave 1")</f>
        <v>0</v>
      </c>
      <c r="D9">
        <f>5</f>
        <v>5</v>
      </c>
    </row>
    <row r="10" spans="1:6" x14ac:dyDescent="0.25">
      <c r="A10" s="2" t="s">
        <v>179</v>
      </c>
      <c r="B10">
        <f>COUNTIF('5. Dependencies Schedule'!G2:G25,"Wave 2")</f>
        <v>0</v>
      </c>
      <c r="D10">
        <f>6</f>
        <v>6</v>
      </c>
    </row>
    <row r="11" spans="1:6" x14ac:dyDescent="0.25">
      <c r="A11" s="2" t="s">
        <v>180</v>
      </c>
      <c r="B11">
        <f>COUNTIF('5. Dependencies Schedule'!G2:G25,"Wave 3")</f>
        <v>0</v>
      </c>
      <c r="D11">
        <f>7</f>
        <v>7</v>
      </c>
    </row>
    <row r="12" spans="1:6" x14ac:dyDescent="0.25">
      <c r="D12">
        <f>8</f>
        <v>8</v>
      </c>
    </row>
    <row r="13" spans="1:6" ht="15.75" x14ac:dyDescent="0.25">
      <c r="A13" s="33" t="s">
        <v>181</v>
      </c>
      <c r="B13" s="34"/>
      <c r="D13">
        <f>9</f>
        <v>9</v>
      </c>
    </row>
    <row r="14" spans="1:6" x14ac:dyDescent="0.25">
      <c r="A14" s="2" t="s">
        <v>182</v>
      </c>
      <c r="B14">
        <f>COUNTIF('6. Portfolio View'!H2:H25,"Quick Win")</f>
        <v>0</v>
      </c>
      <c r="D14">
        <f>10</f>
        <v>10</v>
      </c>
    </row>
    <row r="15" spans="1:6" x14ac:dyDescent="0.25">
      <c r="A15" s="2" t="s">
        <v>183</v>
      </c>
      <c r="B15">
        <f>COUNTIF('6. Portfolio View'!H2:H25,"Strategic Bet")</f>
        <v>0</v>
      </c>
    </row>
    <row r="16" spans="1:6" x14ac:dyDescent="0.25">
      <c r="A16" s="2" t="s">
        <v>184</v>
      </c>
      <c r="B16">
        <f>COUNTIF('6. Portfolio View'!H2:H25,"Fill-in")</f>
        <v>0</v>
      </c>
    </row>
    <row r="17" spans="1:2" x14ac:dyDescent="0.25">
      <c r="A17" s="2" t="s">
        <v>185</v>
      </c>
      <c r="B17">
        <f>COUNTIF('6. Portfolio View'!H2:H25,"Avoid")</f>
        <v>23</v>
      </c>
    </row>
  </sheetData>
  <mergeCells count="4">
    <mergeCell ref="A13:B13"/>
    <mergeCell ref="A3:B3"/>
    <mergeCell ref="A1:F1"/>
    <mergeCell ref="D3:F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
  <sheetViews>
    <sheetView showGridLines="0" workbookViewId="0">
      <pane ySplit="1" topLeftCell="A2" activePane="bottomLeft" state="frozen"/>
      <selection pane="bottomLeft" activeCell="D24" sqref="D24"/>
    </sheetView>
  </sheetViews>
  <sheetFormatPr defaultRowHeight="15" x14ac:dyDescent="0.25"/>
  <cols>
    <col min="1" max="1" width="7.140625" style="7" customWidth="1"/>
    <col min="2" max="2" width="18.140625" style="8" customWidth="1"/>
    <col min="3" max="3" width="23.42578125" style="8" customWidth="1"/>
    <col min="4" max="4" width="34.28515625" style="8" customWidth="1"/>
    <col min="5" max="5" width="32.140625" style="8" customWidth="1"/>
    <col min="6" max="6" width="13.42578125" style="7" customWidth="1"/>
    <col min="7" max="7" width="17.7109375" style="7" customWidth="1"/>
    <col min="8" max="8" width="11.7109375" style="4" customWidth="1"/>
    <col min="9" max="9" width="20.42578125" customWidth="1"/>
    <col min="10" max="10" width="11" style="4" customWidth="1"/>
    <col min="11" max="11" width="18.42578125" customWidth="1"/>
    <col min="12" max="12" width="10.42578125" style="4" customWidth="1"/>
    <col min="13" max="13" width="16.85546875" customWidth="1"/>
  </cols>
  <sheetData>
    <row r="1" spans="1:13" ht="25.5" x14ac:dyDescent="0.25">
      <c r="A1" s="32" t="s">
        <v>0</v>
      </c>
      <c r="B1" s="32" t="s">
        <v>1</v>
      </c>
      <c r="C1" s="32" t="s">
        <v>2</v>
      </c>
      <c r="D1" s="6" t="s">
        <v>308</v>
      </c>
      <c r="E1" s="6" t="s">
        <v>269</v>
      </c>
      <c r="F1" s="6" t="s">
        <v>210</v>
      </c>
      <c r="G1" s="31" t="s">
        <v>310</v>
      </c>
      <c r="H1" s="6" t="s">
        <v>151</v>
      </c>
      <c r="I1" s="31" t="s">
        <v>305</v>
      </c>
      <c r="J1" s="6" t="s">
        <v>158</v>
      </c>
      <c r="K1" s="31" t="s">
        <v>306</v>
      </c>
      <c r="L1" s="6" t="s">
        <v>164</v>
      </c>
      <c r="M1" s="31" t="s">
        <v>307</v>
      </c>
    </row>
    <row r="2" spans="1:13" ht="165.75" x14ac:dyDescent="0.25">
      <c r="A2" s="7" t="s">
        <v>186</v>
      </c>
      <c r="B2" s="8" t="s">
        <v>6</v>
      </c>
      <c r="C2" s="8" t="s">
        <v>221</v>
      </c>
      <c r="D2" s="8" t="s">
        <v>309</v>
      </c>
      <c r="E2" s="8" t="s">
        <v>245</v>
      </c>
      <c r="F2" s="7" t="s">
        <v>274</v>
      </c>
      <c r="G2" s="7" t="str">
        <f>VLOOKUP(use_cases[[#This Row],[Business Value]],BusinessValueTable,3,FALSE)</f>
        <v>$100K-500K benefit OR 2-5% efficiency</v>
      </c>
      <c r="H2" s="7" t="s">
        <v>287</v>
      </c>
      <c r="I2" s="8" t="str">
        <f>VLOOKUP(use_cases[[#This Row],[Desirability]],DesirabilityTable,3,FALSE)</f>
        <v>Unclear if colleagues or customers want this.</v>
      </c>
      <c r="J2" s="7" t="s">
        <v>287</v>
      </c>
      <c r="K2" s="8" t="str">
        <f>VLOOKUP(use_cases[[#This Row],[Viability]],ViabilityTable,3,FALSE)</f>
        <v>Weak business case.</v>
      </c>
      <c r="L2" s="7" t="s">
        <v>287</v>
      </c>
      <c r="M2" s="8" t="str">
        <f>VLOOKUP(use_cases[[#This Row],[Feasibility]],FeasibilityTable,3,FALSE)</f>
        <v>Significant technical challenges.</v>
      </c>
    </row>
    <row r="3" spans="1:13" ht="153" x14ac:dyDescent="0.25">
      <c r="A3" s="7" t="s">
        <v>187</v>
      </c>
      <c r="B3" s="8" t="s">
        <v>10</v>
      </c>
      <c r="C3" s="8" t="s">
        <v>222</v>
      </c>
      <c r="D3" s="8" t="s">
        <v>311</v>
      </c>
      <c r="E3" s="8" t="s">
        <v>246</v>
      </c>
      <c r="F3" s="7" t="s">
        <v>274</v>
      </c>
      <c r="G3" s="7" t="str">
        <f>VLOOKUP(use_cases[[#This Row],[Business Value]],BusinessValueTable,3,FALSE)</f>
        <v>$100K-500K benefit OR 2-5% efficiency</v>
      </c>
      <c r="H3" s="7" t="s">
        <v>287</v>
      </c>
      <c r="I3" s="8" t="str">
        <f>VLOOKUP(use_cases[[#This Row],[Desirability]],DesirabilityTable,3,FALSE)</f>
        <v>Unclear if colleagues or customers want this.</v>
      </c>
      <c r="J3" s="7" t="s">
        <v>287</v>
      </c>
      <c r="K3" s="8" t="str">
        <f>VLOOKUP(use_cases[[#This Row],[Viability]],ViabilityTable,3,FALSE)</f>
        <v>Weak business case.</v>
      </c>
      <c r="L3" s="7" t="s">
        <v>287</v>
      </c>
      <c r="M3" s="8" t="str">
        <f>VLOOKUP(use_cases[[#This Row],[Feasibility]],FeasibilityTable,3,FALSE)</f>
        <v>Significant technical challenges.</v>
      </c>
    </row>
    <row r="4" spans="1:13" ht="140.25" x14ac:dyDescent="0.25">
      <c r="A4" s="7" t="s">
        <v>188</v>
      </c>
      <c r="B4" s="8" t="s">
        <v>14</v>
      </c>
      <c r="C4" s="8" t="s">
        <v>223</v>
      </c>
      <c r="D4" s="8" t="s">
        <v>312</v>
      </c>
      <c r="E4" s="8" t="s">
        <v>247</v>
      </c>
      <c r="F4" s="7" t="s">
        <v>274</v>
      </c>
      <c r="G4" s="7" t="str">
        <f>VLOOKUP(use_cases[[#This Row],[Business Value]],BusinessValueTable,3,FALSE)</f>
        <v>$100K-500K benefit OR 2-5% efficiency</v>
      </c>
      <c r="H4" s="7" t="s">
        <v>287</v>
      </c>
      <c r="I4" s="8" t="str">
        <f>VLOOKUP(use_cases[[#This Row],[Desirability]],DesirabilityTable,3,FALSE)</f>
        <v>Unclear if colleagues or customers want this.</v>
      </c>
      <c r="J4" s="7" t="s">
        <v>287</v>
      </c>
      <c r="K4" s="8" t="str">
        <f>VLOOKUP(use_cases[[#This Row],[Viability]],ViabilityTable,3,FALSE)</f>
        <v>Weak business case.</v>
      </c>
      <c r="L4" s="7" t="s">
        <v>287</v>
      </c>
      <c r="M4" s="8" t="str">
        <f>VLOOKUP(use_cases[[#This Row],[Feasibility]],FeasibilityTable,3,FALSE)</f>
        <v>Significant technical challenges.</v>
      </c>
    </row>
    <row r="5" spans="1:13" ht="153" x14ac:dyDescent="0.25">
      <c r="A5" s="7" t="s">
        <v>189</v>
      </c>
      <c r="B5" s="8" t="s">
        <v>17</v>
      </c>
      <c r="C5" s="8" t="s">
        <v>224</v>
      </c>
      <c r="D5" s="8" t="s">
        <v>313</v>
      </c>
      <c r="E5" s="8" t="s">
        <v>248</v>
      </c>
      <c r="F5" s="7" t="s">
        <v>274</v>
      </c>
      <c r="G5" s="7" t="str">
        <f>VLOOKUP(use_cases[[#This Row],[Business Value]],BusinessValueTable,3,FALSE)</f>
        <v>$100K-500K benefit OR 2-5% efficiency</v>
      </c>
      <c r="H5" s="7" t="s">
        <v>287</v>
      </c>
      <c r="I5" s="8" t="str">
        <f>VLOOKUP(use_cases[[#This Row],[Desirability]],DesirabilityTable,3,FALSE)</f>
        <v>Unclear if colleagues or customers want this.</v>
      </c>
      <c r="J5" s="7" t="s">
        <v>287</v>
      </c>
      <c r="K5" s="8" t="str">
        <f>VLOOKUP(use_cases[[#This Row],[Viability]],ViabilityTable,3,FALSE)</f>
        <v>Weak business case.</v>
      </c>
      <c r="L5" s="7" t="s">
        <v>287</v>
      </c>
      <c r="M5" s="8" t="str">
        <f>VLOOKUP(use_cases[[#This Row],[Feasibility]],FeasibilityTable,3,FALSE)</f>
        <v>Significant technical challenges.</v>
      </c>
    </row>
    <row r="6" spans="1:13" ht="140.25" x14ac:dyDescent="0.25">
      <c r="A6" s="7" t="s">
        <v>190</v>
      </c>
      <c r="B6" s="8" t="s">
        <v>21</v>
      </c>
      <c r="C6" s="8" t="s">
        <v>225</v>
      </c>
      <c r="D6" s="8" t="s">
        <v>314</v>
      </c>
      <c r="E6" s="8" t="s">
        <v>249</v>
      </c>
      <c r="F6" s="7" t="s">
        <v>274</v>
      </c>
      <c r="G6" s="7" t="str">
        <f>VLOOKUP(use_cases[[#This Row],[Business Value]],BusinessValueTable,3,FALSE)</f>
        <v>$100K-500K benefit OR 2-5% efficiency</v>
      </c>
      <c r="H6" s="7" t="s">
        <v>287</v>
      </c>
      <c r="I6" s="8" t="str">
        <f>VLOOKUP(use_cases[[#This Row],[Desirability]],DesirabilityTable,3,FALSE)</f>
        <v>Unclear if colleagues or customers want this.</v>
      </c>
      <c r="J6" s="7" t="s">
        <v>287</v>
      </c>
      <c r="K6" s="8" t="str">
        <f>VLOOKUP(use_cases[[#This Row],[Viability]],ViabilityTable,3,FALSE)</f>
        <v>Weak business case.</v>
      </c>
      <c r="L6" s="7" t="s">
        <v>287</v>
      </c>
      <c r="M6" s="8" t="str">
        <f>VLOOKUP(use_cases[[#This Row],[Feasibility]],FeasibilityTable,3,FALSE)</f>
        <v>Significant technical challenges.</v>
      </c>
    </row>
    <row r="7" spans="1:13" ht="153" x14ac:dyDescent="0.25">
      <c r="A7" s="7" t="s">
        <v>191</v>
      </c>
      <c r="B7" s="8" t="s">
        <v>24</v>
      </c>
      <c r="C7" s="8" t="s">
        <v>226</v>
      </c>
      <c r="D7" s="8" t="s">
        <v>315</v>
      </c>
      <c r="E7" s="8" t="s">
        <v>250</v>
      </c>
      <c r="F7" s="7" t="s">
        <v>274</v>
      </c>
      <c r="G7" s="7" t="str">
        <f>VLOOKUP(use_cases[[#This Row],[Business Value]],BusinessValueTable,3,FALSE)</f>
        <v>$100K-500K benefit OR 2-5% efficiency</v>
      </c>
      <c r="H7" s="7" t="s">
        <v>287</v>
      </c>
      <c r="I7" s="8" t="str">
        <f>VLOOKUP(use_cases[[#This Row],[Desirability]],DesirabilityTable,3,FALSE)</f>
        <v>Unclear if colleagues or customers want this.</v>
      </c>
      <c r="J7" s="7" t="s">
        <v>287</v>
      </c>
      <c r="K7" s="8" t="str">
        <f>VLOOKUP(use_cases[[#This Row],[Viability]],ViabilityTable,3,FALSE)</f>
        <v>Weak business case.</v>
      </c>
      <c r="L7" s="7" t="s">
        <v>287</v>
      </c>
      <c r="M7" s="8" t="str">
        <f>VLOOKUP(use_cases[[#This Row],[Feasibility]],FeasibilityTable,3,FALSE)</f>
        <v>Significant technical challenges.</v>
      </c>
    </row>
    <row r="8" spans="1:13" ht="140.25" x14ac:dyDescent="0.25">
      <c r="A8" s="7" t="s">
        <v>192</v>
      </c>
      <c r="B8" s="8" t="s">
        <v>26</v>
      </c>
      <c r="C8" s="8" t="s">
        <v>227</v>
      </c>
      <c r="D8" s="8" t="s">
        <v>316</v>
      </c>
      <c r="E8" s="8" t="s">
        <v>251</v>
      </c>
      <c r="F8" s="7" t="s">
        <v>274</v>
      </c>
      <c r="G8" s="7" t="str">
        <f>VLOOKUP(use_cases[[#This Row],[Business Value]],BusinessValueTable,3,FALSE)</f>
        <v>$100K-500K benefit OR 2-5% efficiency</v>
      </c>
      <c r="H8" s="7" t="s">
        <v>287</v>
      </c>
      <c r="I8" s="8" t="str">
        <f>VLOOKUP(use_cases[[#This Row],[Desirability]],DesirabilityTable,3,FALSE)</f>
        <v>Unclear if colleagues or customers want this.</v>
      </c>
      <c r="J8" s="7" t="s">
        <v>287</v>
      </c>
      <c r="K8" s="8" t="str">
        <f>VLOOKUP(use_cases[[#This Row],[Viability]],ViabilityTable,3,FALSE)</f>
        <v>Weak business case.</v>
      </c>
      <c r="L8" s="7" t="s">
        <v>287</v>
      </c>
      <c r="M8" s="8" t="str">
        <f>VLOOKUP(use_cases[[#This Row],[Feasibility]],FeasibilityTable,3,FALSE)</f>
        <v>Significant technical challenges.</v>
      </c>
    </row>
    <row r="9" spans="1:13" ht="153" x14ac:dyDescent="0.25">
      <c r="A9" s="7" t="s">
        <v>193</v>
      </c>
      <c r="B9" s="8" t="s">
        <v>28</v>
      </c>
      <c r="C9" s="8" t="s">
        <v>228</v>
      </c>
      <c r="D9" s="8" t="s">
        <v>317</v>
      </c>
      <c r="E9" s="8" t="s">
        <v>252</v>
      </c>
      <c r="F9" s="7" t="s">
        <v>274</v>
      </c>
      <c r="G9" s="7" t="str">
        <f>VLOOKUP(use_cases[[#This Row],[Business Value]],BusinessValueTable,3,FALSE)</f>
        <v>$100K-500K benefit OR 2-5% efficiency</v>
      </c>
      <c r="H9" s="7" t="s">
        <v>287</v>
      </c>
      <c r="I9" s="8" t="str">
        <f>VLOOKUP(use_cases[[#This Row],[Desirability]],DesirabilityTable,3,FALSE)</f>
        <v>Unclear if colleagues or customers want this.</v>
      </c>
      <c r="J9" s="7" t="s">
        <v>287</v>
      </c>
      <c r="K9" s="8" t="str">
        <f>VLOOKUP(use_cases[[#This Row],[Viability]],ViabilityTable,3,FALSE)</f>
        <v>Weak business case.</v>
      </c>
      <c r="L9" s="7" t="s">
        <v>287</v>
      </c>
      <c r="M9" s="8" t="str">
        <f>VLOOKUP(use_cases[[#This Row],[Feasibility]],FeasibilityTable,3,FALSE)</f>
        <v>Significant technical challenges.</v>
      </c>
    </row>
    <row r="10" spans="1:13" ht="153" x14ac:dyDescent="0.25">
      <c r="A10" s="7" t="s">
        <v>194</v>
      </c>
      <c r="B10" s="8" t="s">
        <v>30</v>
      </c>
      <c r="C10" s="8" t="s">
        <v>229</v>
      </c>
      <c r="D10" s="8" t="s">
        <v>318</v>
      </c>
      <c r="E10" s="8" t="s">
        <v>253</v>
      </c>
      <c r="F10" s="7" t="s">
        <v>274</v>
      </c>
      <c r="G10" s="7" t="str">
        <f>VLOOKUP(use_cases[[#This Row],[Business Value]],BusinessValueTable,3,FALSE)</f>
        <v>$100K-500K benefit OR 2-5% efficiency</v>
      </c>
      <c r="H10" s="7" t="s">
        <v>287</v>
      </c>
      <c r="I10" s="8" t="str">
        <f>VLOOKUP(use_cases[[#This Row],[Desirability]],DesirabilityTable,3,FALSE)</f>
        <v>Unclear if colleagues or customers want this.</v>
      </c>
      <c r="J10" s="7" t="s">
        <v>287</v>
      </c>
      <c r="K10" s="8" t="str">
        <f>VLOOKUP(use_cases[[#This Row],[Viability]],ViabilityTable,3,FALSE)</f>
        <v>Weak business case.</v>
      </c>
      <c r="L10" s="7" t="s">
        <v>287</v>
      </c>
      <c r="M10" s="8" t="str">
        <f>VLOOKUP(use_cases[[#This Row],[Feasibility]],FeasibilityTable,3,FALSE)</f>
        <v>Significant technical challenges.</v>
      </c>
    </row>
    <row r="11" spans="1:13" ht="165.75" x14ac:dyDescent="0.25">
      <c r="A11" s="7" t="s">
        <v>195</v>
      </c>
      <c r="B11" s="8" t="s">
        <v>31</v>
      </c>
      <c r="C11" s="8" t="s">
        <v>230</v>
      </c>
      <c r="D11" s="8" t="s">
        <v>319</v>
      </c>
      <c r="E11" s="8" t="s">
        <v>254</v>
      </c>
      <c r="F11" s="7" t="s">
        <v>274</v>
      </c>
      <c r="G11" s="7" t="str">
        <f>VLOOKUP(use_cases[[#This Row],[Business Value]],BusinessValueTable,3,FALSE)</f>
        <v>$100K-500K benefit OR 2-5% efficiency</v>
      </c>
      <c r="H11" s="7" t="s">
        <v>287</v>
      </c>
      <c r="I11" s="8" t="str">
        <f>VLOOKUP(use_cases[[#This Row],[Desirability]],DesirabilityTable,3,FALSE)</f>
        <v>Unclear if colleagues or customers want this.</v>
      </c>
      <c r="J11" s="7" t="s">
        <v>287</v>
      </c>
      <c r="K11" s="8" t="str">
        <f>VLOOKUP(use_cases[[#This Row],[Viability]],ViabilityTable,3,FALSE)</f>
        <v>Weak business case.</v>
      </c>
      <c r="L11" s="7" t="s">
        <v>287</v>
      </c>
      <c r="M11" s="8" t="str">
        <f>VLOOKUP(use_cases[[#This Row],[Feasibility]],FeasibilityTable,3,FALSE)</f>
        <v>Significant technical challenges.</v>
      </c>
    </row>
    <row r="12" spans="1:13" ht="153" x14ac:dyDescent="0.25">
      <c r="A12" s="7" t="s">
        <v>196</v>
      </c>
      <c r="B12" s="8" t="s">
        <v>34</v>
      </c>
      <c r="C12" s="8" t="s">
        <v>231</v>
      </c>
      <c r="D12" s="8" t="s">
        <v>320</v>
      </c>
      <c r="E12" s="8" t="s">
        <v>255</v>
      </c>
      <c r="F12" s="7" t="s">
        <v>274</v>
      </c>
      <c r="G12" s="7" t="str">
        <f>VLOOKUP(use_cases[[#This Row],[Business Value]],BusinessValueTable,3,FALSE)</f>
        <v>$100K-500K benefit OR 2-5% efficiency</v>
      </c>
      <c r="H12" s="7" t="s">
        <v>287</v>
      </c>
      <c r="I12" s="8" t="str">
        <f>VLOOKUP(use_cases[[#This Row],[Desirability]],DesirabilityTable,3,FALSE)</f>
        <v>Unclear if colleagues or customers want this.</v>
      </c>
      <c r="J12" s="7" t="s">
        <v>287</v>
      </c>
      <c r="K12" s="8" t="str">
        <f>VLOOKUP(use_cases[[#This Row],[Viability]],ViabilityTable,3,FALSE)</f>
        <v>Weak business case.</v>
      </c>
      <c r="L12" s="7" t="s">
        <v>287</v>
      </c>
      <c r="M12" s="8" t="str">
        <f>VLOOKUP(use_cases[[#This Row],[Feasibility]],FeasibilityTable,3,FALSE)</f>
        <v>Significant technical challenges.</v>
      </c>
    </row>
    <row r="13" spans="1:13" ht="153" x14ac:dyDescent="0.25">
      <c r="A13" s="7" t="s">
        <v>197</v>
      </c>
      <c r="B13" s="8" t="s">
        <v>36</v>
      </c>
      <c r="C13" s="8" t="s">
        <v>232</v>
      </c>
      <c r="D13" s="8" t="s">
        <v>321</v>
      </c>
      <c r="E13" s="8" t="s">
        <v>256</v>
      </c>
      <c r="F13" s="7" t="s">
        <v>274</v>
      </c>
      <c r="G13" s="7" t="str">
        <f>VLOOKUP(use_cases[[#This Row],[Business Value]],BusinessValueTable,3,FALSE)</f>
        <v>$100K-500K benefit OR 2-5% efficiency</v>
      </c>
      <c r="H13" s="7" t="s">
        <v>287</v>
      </c>
      <c r="I13" s="8" t="str">
        <f>VLOOKUP(use_cases[[#This Row],[Desirability]],DesirabilityTable,3,FALSE)</f>
        <v>Unclear if colleagues or customers want this.</v>
      </c>
      <c r="J13" s="7" t="s">
        <v>287</v>
      </c>
      <c r="K13" s="8" t="str">
        <f>VLOOKUP(use_cases[[#This Row],[Viability]],ViabilityTable,3,FALSE)</f>
        <v>Weak business case.</v>
      </c>
      <c r="L13" s="7" t="s">
        <v>287</v>
      </c>
      <c r="M13" s="8" t="str">
        <f>VLOOKUP(use_cases[[#This Row],[Feasibility]],FeasibilityTable,3,FALSE)</f>
        <v>Significant technical challenges.</v>
      </c>
    </row>
    <row r="14" spans="1:13" ht="140.25" x14ac:dyDescent="0.25">
      <c r="A14" s="7" t="s">
        <v>198</v>
      </c>
      <c r="B14" s="8" t="s">
        <v>38</v>
      </c>
      <c r="C14" s="8" t="s">
        <v>233</v>
      </c>
      <c r="D14" s="8" t="s">
        <v>322</v>
      </c>
      <c r="E14" s="8" t="s">
        <v>257</v>
      </c>
      <c r="F14" s="7" t="s">
        <v>274</v>
      </c>
      <c r="G14" s="7" t="str">
        <f>VLOOKUP(use_cases[[#This Row],[Business Value]],BusinessValueTable,3,FALSE)</f>
        <v>$100K-500K benefit OR 2-5% efficiency</v>
      </c>
      <c r="H14" s="7" t="s">
        <v>287</v>
      </c>
      <c r="I14" s="8" t="str">
        <f>VLOOKUP(use_cases[[#This Row],[Desirability]],DesirabilityTable,3,FALSE)</f>
        <v>Unclear if colleagues or customers want this.</v>
      </c>
      <c r="J14" s="7" t="s">
        <v>287</v>
      </c>
      <c r="K14" s="8" t="str">
        <f>VLOOKUP(use_cases[[#This Row],[Viability]],ViabilityTable,3,FALSE)</f>
        <v>Weak business case.</v>
      </c>
      <c r="L14" s="7" t="s">
        <v>287</v>
      </c>
      <c r="M14" s="8" t="str">
        <f>VLOOKUP(use_cases[[#This Row],[Feasibility]],FeasibilityTable,3,FALSE)</f>
        <v>Significant technical challenges.</v>
      </c>
    </row>
    <row r="15" spans="1:13" ht="140.25" x14ac:dyDescent="0.25">
      <c r="A15" s="7" t="s">
        <v>199</v>
      </c>
      <c r="B15" s="8" t="s">
        <v>40</v>
      </c>
      <c r="C15" s="8" t="s">
        <v>234</v>
      </c>
      <c r="D15" s="8" t="s">
        <v>323</v>
      </c>
      <c r="E15" s="8" t="s">
        <v>258</v>
      </c>
      <c r="F15" s="7" t="s">
        <v>274</v>
      </c>
      <c r="G15" s="7" t="str">
        <f>VLOOKUP(use_cases[[#This Row],[Business Value]],BusinessValueTable,3,FALSE)</f>
        <v>$100K-500K benefit OR 2-5% efficiency</v>
      </c>
      <c r="H15" s="7" t="s">
        <v>287</v>
      </c>
      <c r="I15" s="8" t="str">
        <f>VLOOKUP(use_cases[[#This Row],[Desirability]],DesirabilityTable,3,FALSE)</f>
        <v>Unclear if colleagues or customers want this.</v>
      </c>
      <c r="J15" s="7" t="s">
        <v>287</v>
      </c>
      <c r="K15" s="8" t="str">
        <f>VLOOKUP(use_cases[[#This Row],[Viability]],ViabilityTable,3,FALSE)</f>
        <v>Weak business case.</v>
      </c>
      <c r="L15" s="7" t="s">
        <v>287</v>
      </c>
      <c r="M15" s="8" t="str">
        <f>VLOOKUP(use_cases[[#This Row],[Feasibility]],FeasibilityTable,3,FALSE)</f>
        <v>Significant technical challenges.</v>
      </c>
    </row>
    <row r="16" spans="1:13" ht="165.75" x14ac:dyDescent="0.25">
      <c r="A16" s="7" t="s">
        <v>200</v>
      </c>
      <c r="B16" s="8" t="s">
        <v>42</v>
      </c>
      <c r="C16" s="8" t="s">
        <v>235</v>
      </c>
      <c r="D16" s="8" t="s">
        <v>324</v>
      </c>
      <c r="E16" s="8" t="s">
        <v>259</v>
      </c>
      <c r="F16" s="7" t="s">
        <v>274</v>
      </c>
      <c r="G16" s="7" t="str">
        <f>VLOOKUP(use_cases[[#This Row],[Business Value]],BusinessValueTable,3,FALSE)</f>
        <v>$100K-500K benefit OR 2-5% efficiency</v>
      </c>
      <c r="H16" s="7" t="s">
        <v>287</v>
      </c>
      <c r="I16" s="8" t="str">
        <f>VLOOKUP(use_cases[[#This Row],[Desirability]],DesirabilityTable,3,FALSE)</f>
        <v>Unclear if colleagues or customers want this.</v>
      </c>
      <c r="J16" s="7" t="s">
        <v>287</v>
      </c>
      <c r="K16" s="8" t="str">
        <f>VLOOKUP(use_cases[[#This Row],[Viability]],ViabilityTable,3,FALSE)</f>
        <v>Weak business case.</v>
      </c>
      <c r="L16" s="7" t="s">
        <v>287</v>
      </c>
      <c r="M16" s="8" t="str">
        <f>VLOOKUP(use_cases[[#This Row],[Feasibility]],FeasibilityTable,3,FALSE)</f>
        <v>Significant technical challenges.</v>
      </c>
    </row>
    <row r="17" spans="1:13" ht="165.75" x14ac:dyDescent="0.25">
      <c r="A17" s="7" t="s">
        <v>201</v>
      </c>
      <c r="B17" s="8" t="s">
        <v>43</v>
      </c>
      <c r="C17" s="8" t="s">
        <v>236</v>
      </c>
      <c r="D17" s="8" t="s">
        <v>325</v>
      </c>
      <c r="E17" s="8" t="s">
        <v>260</v>
      </c>
      <c r="F17" s="7" t="s">
        <v>274</v>
      </c>
      <c r="G17" s="7" t="str">
        <f>VLOOKUP(use_cases[[#This Row],[Business Value]],BusinessValueTable,3,FALSE)</f>
        <v>$100K-500K benefit OR 2-5% efficiency</v>
      </c>
      <c r="H17" s="7" t="s">
        <v>287</v>
      </c>
      <c r="I17" s="8" t="str">
        <f>VLOOKUP(use_cases[[#This Row],[Desirability]],DesirabilityTable,3,FALSE)</f>
        <v>Unclear if colleagues or customers want this.</v>
      </c>
      <c r="J17" s="7" t="s">
        <v>287</v>
      </c>
      <c r="K17" s="8" t="str">
        <f>VLOOKUP(use_cases[[#This Row],[Viability]],ViabilityTable,3,FALSE)</f>
        <v>Weak business case.</v>
      </c>
      <c r="L17" s="7" t="s">
        <v>287</v>
      </c>
      <c r="M17" s="8" t="str">
        <f>VLOOKUP(use_cases[[#This Row],[Feasibility]],FeasibilityTable,3,FALSE)</f>
        <v>Significant technical challenges.</v>
      </c>
    </row>
    <row r="18" spans="1:13" ht="165.75" x14ac:dyDescent="0.25">
      <c r="A18" s="7" t="s">
        <v>202</v>
      </c>
      <c r="B18" s="8" t="s">
        <v>46</v>
      </c>
      <c r="C18" s="8" t="s">
        <v>237</v>
      </c>
      <c r="D18" s="8" t="s">
        <v>326</v>
      </c>
      <c r="E18" s="8" t="s">
        <v>261</v>
      </c>
      <c r="F18" s="7" t="s">
        <v>274</v>
      </c>
      <c r="G18" s="7" t="str">
        <f>VLOOKUP(use_cases[[#This Row],[Business Value]],BusinessValueTable,3,FALSE)</f>
        <v>$100K-500K benefit OR 2-5% efficiency</v>
      </c>
      <c r="H18" s="7" t="s">
        <v>287</v>
      </c>
      <c r="I18" s="8" t="str">
        <f>VLOOKUP(use_cases[[#This Row],[Desirability]],DesirabilityTable,3,FALSE)</f>
        <v>Unclear if colleagues or customers want this.</v>
      </c>
      <c r="J18" s="7" t="s">
        <v>287</v>
      </c>
      <c r="K18" s="8" t="str">
        <f>VLOOKUP(use_cases[[#This Row],[Viability]],ViabilityTable,3,FALSE)</f>
        <v>Weak business case.</v>
      </c>
      <c r="L18" s="7" t="s">
        <v>287</v>
      </c>
      <c r="M18" s="8" t="str">
        <f>VLOOKUP(use_cases[[#This Row],[Feasibility]],FeasibilityTable,3,FALSE)</f>
        <v>Significant technical challenges.</v>
      </c>
    </row>
    <row r="19" spans="1:13" ht="165.75" x14ac:dyDescent="0.25">
      <c r="A19" s="7" t="s">
        <v>203</v>
      </c>
      <c r="B19" s="8" t="s">
        <v>47</v>
      </c>
      <c r="C19" s="8" t="s">
        <v>238</v>
      </c>
      <c r="D19" s="8" t="s">
        <v>327</v>
      </c>
      <c r="E19" s="8" t="s">
        <v>262</v>
      </c>
      <c r="F19" s="7" t="s">
        <v>274</v>
      </c>
      <c r="G19" s="7" t="str">
        <f>VLOOKUP(use_cases[[#This Row],[Business Value]],BusinessValueTable,3,FALSE)</f>
        <v>$100K-500K benefit OR 2-5% efficiency</v>
      </c>
      <c r="H19" s="7" t="s">
        <v>287</v>
      </c>
      <c r="I19" s="8" t="str">
        <f>VLOOKUP(use_cases[[#This Row],[Desirability]],DesirabilityTable,3,FALSE)</f>
        <v>Unclear if colleagues or customers want this.</v>
      </c>
      <c r="J19" s="7" t="s">
        <v>287</v>
      </c>
      <c r="K19" s="8" t="str">
        <f>VLOOKUP(use_cases[[#This Row],[Viability]],ViabilityTable,3,FALSE)</f>
        <v>Weak business case.</v>
      </c>
      <c r="L19" s="7" t="s">
        <v>287</v>
      </c>
      <c r="M19" s="8" t="str">
        <f>VLOOKUP(use_cases[[#This Row],[Feasibility]],FeasibilityTable,3,FALSE)</f>
        <v>Significant technical challenges.</v>
      </c>
    </row>
    <row r="20" spans="1:13" ht="140.25" x14ac:dyDescent="0.25">
      <c r="A20" s="7" t="s">
        <v>204</v>
      </c>
      <c r="B20" s="8" t="s">
        <v>50</v>
      </c>
      <c r="C20" s="8" t="s">
        <v>239</v>
      </c>
      <c r="D20" s="8" t="s">
        <v>328</v>
      </c>
      <c r="E20" s="8" t="s">
        <v>263</v>
      </c>
      <c r="F20" s="7" t="s">
        <v>274</v>
      </c>
      <c r="G20" s="7" t="str">
        <f>VLOOKUP(use_cases[[#This Row],[Business Value]],BusinessValueTable,3,FALSE)</f>
        <v>$100K-500K benefit OR 2-5% efficiency</v>
      </c>
      <c r="H20" s="7" t="s">
        <v>287</v>
      </c>
      <c r="I20" s="8" t="str">
        <f>VLOOKUP(use_cases[[#This Row],[Desirability]],DesirabilityTable,3,FALSE)</f>
        <v>Unclear if colleagues or customers want this.</v>
      </c>
      <c r="J20" s="7" t="s">
        <v>287</v>
      </c>
      <c r="K20" s="8" t="str">
        <f>VLOOKUP(use_cases[[#This Row],[Viability]],ViabilityTable,3,FALSE)</f>
        <v>Weak business case.</v>
      </c>
      <c r="L20" s="7" t="s">
        <v>287</v>
      </c>
      <c r="M20" s="8" t="str">
        <f>VLOOKUP(use_cases[[#This Row],[Feasibility]],FeasibilityTable,3,FALSE)</f>
        <v>Significant technical challenges.</v>
      </c>
    </row>
    <row r="21" spans="1:13" ht="165.75" x14ac:dyDescent="0.25">
      <c r="A21" s="7" t="s">
        <v>205</v>
      </c>
      <c r="B21" s="8" t="s">
        <v>52</v>
      </c>
      <c r="C21" s="8" t="s">
        <v>240</v>
      </c>
      <c r="D21" s="8" t="s">
        <v>329</v>
      </c>
      <c r="E21" s="8" t="s">
        <v>264</v>
      </c>
      <c r="F21" s="7" t="s">
        <v>274</v>
      </c>
      <c r="G21" s="7" t="str">
        <f>VLOOKUP(use_cases[[#This Row],[Business Value]],BusinessValueTable,3,FALSE)</f>
        <v>$100K-500K benefit OR 2-5% efficiency</v>
      </c>
      <c r="H21" s="7" t="s">
        <v>287</v>
      </c>
      <c r="I21" s="8" t="str">
        <f>VLOOKUP(use_cases[[#This Row],[Desirability]],DesirabilityTable,3,FALSE)</f>
        <v>Unclear if colleagues or customers want this.</v>
      </c>
      <c r="J21" s="7" t="s">
        <v>287</v>
      </c>
      <c r="K21" s="8" t="str">
        <f>VLOOKUP(use_cases[[#This Row],[Viability]],ViabilityTable,3,FALSE)</f>
        <v>Weak business case.</v>
      </c>
      <c r="L21" s="7" t="s">
        <v>287</v>
      </c>
      <c r="M21" s="8" t="str">
        <f>VLOOKUP(use_cases[[#This Row],[Feasibility]],FeasibilityTable,3,FALSE)</f>
        <v>Significant technical challenges.</v>
      </c>
    </row>
    <row r="22" spans="1:13" ht="153" x14ac:dyDescent="0.25">
      <c r="A22" s="7" t="s">
        <v>206</v>
      </c>
      <c r="B22" s="8" t="s">
        <v>54</v>
      </c>
      <c r="C22" s="8" t="s">
        <v>241</v>
      </c>
      <c r="D22" s="8" t="s">
        <v>330</v>
      </c>
      <c r="E22" s="8" t="s">
        <v>265</v>
      </c>
      <c r="F22" s="7" t="s">
        <v>274</v>
      </c>
      <c r="G22" s="7" t="str">
        <f>VLOOKUP(use_cases[[#This Row],[Business Value]],BusinessValueTable,3,FALSE)</f>
        <v>$100K-500K benefit OR 2-5% efficiency</v>
      </c>
      <c r="H22" s="7" t="s">
        <v>287</v>
      </c>
      <c r="I22" s="8" t="str">
        <f>VLOOKUP(use_cases[[#This Row],[Desirability]],DesirabilityTable,3,FALSE)</f>
        <v>Unclear if colleagues or customers want this.</v>
      </c>
      <c r="J22" s="7" t="s">
        <v>287</v>
      </c>
      <c r="K22" s="8" t="str">
        <f>VLOOKUP(use_cases[[#This Row],[Viability]],ViabilityTable,3,FALSE)</f>
        <v>Weak business case.</v>
      </c>
      <c r="L22" s="7" t="s">
        <v>287</v>
      </c>
      <c r="M22" s="8" t="str">
        <f>VLOOKUP(use_cases[[#This Row],[Feasibility]],FeasibilityTable,3,FALSE)</f>
        <v>Significant technical challenges.</v>
      </c>
    </row>
    <row r="23" spans="1:13" ht="165.75" x14ac:dyDescent="0.25">
      <c r="A23" s="7" t="s">
        <v>207</v>
      </c>
      <c r="B23" s="8" t="s">
        <v>55</v>
      </c>
      <c r="C23" s="8" t="s">
        <v>242</v>
      </c>
      <c r="D23" s="8" t="s">
        <v>331</v>
      </c>
      <c r="E23" s="8" t="s">
        <v>266</v>
      </c>
      <c r="F23" s="7" t="s">
        <v>274</v>
      </c>
      <c r="G23" s="7" t="str">
        <f>VLOOKUP(use_cases[[#This Row],[Business Value]],BusinessValueTable,3,FALSE)</f>
        <v>$100K-500K benefit OR 2-5% efficiency</v>
      </c>
      <c r="H23" s="7" t="s">
        <v>287</v>
      </c>
      <c r="I23" s="8" t="str">
        <f>VLOOKUP(use_cases[[#This Row],[Desirability]],DesirabilityTable,3,FALSE)</f>
        <v>Unclear if colleagues or customers want this.</v>
      </c>
      <c r="J23" s="7" t="s">
        <v>287</v>
      </c>
      <c r="K23" s="8" t="str">
        <f>VLOOKUP(use_cases[[#This Row],[Viability]],ViabilityTable,3,FALSE)</f>
        <v>Weak business case.</v>
      </c>
      <c r="L23" s="7" t="s">
        <v>287</v>
      </c>
      <c r="M23" s="8" t="str">
        <f>VLOOKUP(use_cases[[#This Row],[Feasibility]],FeasibilityTable,3,FALSE)</f>
        <v>Significant technical challenges.</v>
      </c>
    </row>
    <row r="24" spans="1:13" ht="178.5" x14ac:dyDescent="0.25">
      <c r="A24" s="7" t="s">
        <v>208</v>
      </c>
      <c r="B24" s="8" t="s">
        <v>57</v>
      </c>
      <c r="C24" s="8" t="s">
        <v>243</v>
      </c>
      <c r="D24" s="8" t="s">
        <v>332</v>
      </c>
      <c r="E24" s="8" t="s">
        <v>267</v>
      </c>
      <c r="F24" s="7" t="s">
        <v>274</v>
      </c>
      <c r="G24" s="7" t="str">
        <f>VLOOKUP(use_cases[[#This Row],[Business Value]],BusinessValueTable,3,FALSE)</f>
        <v>$100K-500K benefit OR 2-5% efficiency</v>
      </c>
      <c r="H24" s="7" t="s">
        <v>287</v>
      </c>
      <c r="I24" s="8" t="str">
        <f>VLOOKUP(use_cases[[#This Row],[Desirability]],DesirabilityTable,3,FALSE)</f>
        <v>Unclear if colleagues or customers want this.</v>
      </c>
      <c r="J24" s="7" t="s">
        <v>287</v>
      </c>
      <c r="K24" s="8" t="str">
        <f>VLOOKUP(use_cases[[#This Row],[Viability]],ViabilityTable,3,FALSE)</f>
        <v>Weak business case.</v>
      </c>
      <c r="L24" s="7" t="s">
        <v>287</v>
      </c>
      <c r="M24" s="8" t="str">
        <f>VLOOKUP(use_cases[[#This Row],[Feasibility]],FeasibilityTable,3,FALSE)</f>
        <v>Significant technical challenges.</v>
      </c>
    </row>
    <row r="25" spans="1:13" ht="178.5" x14ac:dyDescent="0.25">
      <c r="A25" s="7" t="s">
        <v>209</v>
      </c>
      <c r="B25" s="8" t="s">
        <v>59</v>
      </c>
      <c r="C25" s="8" t="s">
        <v>244</v>
      </c>
      <c r="D25" s="8" t="s">
        <v>333</v>
      </c>
      <c r="E25" s="8" t="s">
        <v>268</v>
      </c>
      <c r="F25" s="7" t="s">
        <v>274</v>
      </c>
      <c r="G25" s="7" t="str">
        <f>VLOOKUP(use_cases[[#This Row],[Business Value]],BusinessValueTable,3,FALSE)</f>
        <v>$100K-500K benefit OR 2-5% efficiency</v>
      </c>
      <c r="H25" s="7" t="s">
        <v>287</v>
      </c>
      <c r="I25" s="8" t="str">
        <f>VLOOKUP(use_cases[[#This Row],[Desirability]],DesirabilityTable,3,FALSE)</f>
        <v>Unclear if colleagues or customers want this.</v>
      </c>
      <c r="J25" s="7" t="s">
        <v>287</v>
      </c>
      <c r="K25" s="8" t="str">
        <f>VLOOKUP(use_cases[[#This Row],[Viability]],ViabilityTable,3,FALSE)</f>
        <v>Weak business case.</v>
      </c>
      <c r="L25" s="7" t="s">
        <v>287</v>
      </c>
      <c r="M25" s="8" t="str">
        <f>VLOOKUP(use_cases[[#This Row],[Feasibility]],FeasibilityTable,3,FALSE)</f>
        <v>Significant technical challenges.</v>
      </c>
    </row>
  </sheetData>
  <dataValidations count="4">
    <dataValidation type="list" allowBlank="1" showInputMessage="1" showErrorMessage="1" sqref="F2:F25 G3:G25" xr:uid="{5947142E-8CE6-49D1-8F6E-A54BE7C60291}">
      <formula1>BusinessValueTerms</formula1>
    </dataValidation>
    <dataValidation type="list" allowBlank="1" showInputMessage="1" showErrorMessage="1" sqref="H2:H25" xr:uid="{07FC6902-4782-4544-AD3A-B1943EAC622C}">
      <formula1>DesirabilityTerm</formula1>
    </dataValidation>
    <dataValidation type="list" allowBlank="1" showInputMessage="1" showErrorMessage="1" sqref="J2:J25" xr:uid="{BE3E55E5-A5A5-4026-8DED-10A48C1B8E0C}">
      <formula1>ViabilityTerm</formula1>
    </dataValidation>
    <dataValidation type="list" allowBlank="1" showInputMessage="1" showErrorMessage="1" sqref="L2:L25" xr:uid="{3319A778-525C-43FD-B3E5-0E0F73FB6BF9}">
      <formula1>FeasibilityTerm</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workbookViewId="0">
      <pane ySplit="1" topLeftCell="A2" activePane="bottomLeft" state="frozen"/>
      <selection pane="bottomLeft" activeCell="K10" sqref="K10"/>
    </sheetView>
  </sheetViews>
  <sheetFormatPr defaultRowHeight="15" x14ac:dyDescent="0.25"/>
  <cols>
    <col min="1" max="1" width="10" customWidth="1"/>
    <col min="2" max="2" width="35" customWidth="1"/>
    <col min="3" max="5" width="18" style="4" customWidth="1"/>
    <col min="6" max="6" width="12" style="23" customWidth="1"/>
    <col min="7" max="7" width="12.42578125" style="4" customWidth="1"/>
    <col min="8" max="8" width="40" customWidth="1"/>
  </cols>
  <sheetData>
    <row r="1" spans="1:8" ht="30" customHeight="1" x14ac:dyDescent="0.25">
      <c r="A1" s="36" t="s">
        <v>60</v>
      </c>
      <c r="B1" s="34"/>
      <c r="C1" s="34"/>
      <c r="D1" s="34"/>
      <c r="E1" s="34"/>
      <c r="F1" s="34"/>
      <c r="G1" s="34"/>
      <c r="H1" s="34"/>
    </row>
    <row r="2" spans="1:8" x14ac:dyDescent="0.25">
      <c r="A2" s="12" t="s">
        <v>0</v>
      </c>
      <c r="B2" s="12" t="s">
        <v>1</v>
      </c>
      <c r="C2" s="12" t="s">
        <v>61</v>
      </c>
      <c r="D2" s="12" t="s">
        <v>62</v>
      </c>
      <c r="E2" s="12" t="s">
        <v>63</v>
      </c>
      <c r="F2" s="22" t="s">
        <v>64</v>
      </c>
      <c r="G2" s="12" t="s">
        <v>65</v>
      </c>
      <c r="H2" s="12" t="s">
        <v>66</v>
      </c>
    </row>
    <row r="3" spans="1:8" x14ac:dyDescent="0.25">
      <c r="A3" s="9" t="s">
        <v>186</v>
      </c>
      <c r="B3" t="str">
        <f>VLOOKUP(DVF_Filtering[[#This Row],[ID]],'2. Use Cases'!A:B,2,FALSE)</f>
        <v>FrontLine - Partnership Banking</v>
      </c>
      <c r="C3" s="23" t="str">
        <f>VLOOKUP('2. Use Cases'!H2,DesirabilityTable,2,FALSE)</f>
        <v>2</v>
      </c>
      <c r="D3" s="23" t="str">
        <f>VLOOKUP('2. Use Cases'!J2,ViabilityTable,2,FALSE)</f>
        <v>2</v>
      </c>
      <c r="E3" s="23" t="str">
        <f>VLOOKUP('2. Use Cases'!L2,FeasibilityTable,2,FALSE)</f>
        <v>2</v>
      </c>
      <c r="F3" s="23">
        <f>SUM(DVF_Filtering[[#This Row],[Desirability (1-5)]:[Feasibility (1-5)]])</f>
        <v>0</v>
      </c>
      <c r="G3" s="4" t="str">
        <f t="shared" ref="G3:G26" si="0">IF(AND(_xlfn.NUMBERVALUE(C3) &gt;= 3,_xlfn.NUMBERVALUE(D3) &gt;= 3,_xlfn.NUMBERVALUE(E3) &gt;=3),"Pass","Fail")</f>
        <v>Fail</v>
      </c>
    </row>
    <row r="4" spans="1:8" x14ac:dyDescent="0.25">
      <c r="A4" s="9" t="s">
        <v>187</v>
      </c>
      <c r="B4" t="str">
        <f>VLOOKUP(DVF_Filtering[[#This Row],[ID]],'2. Use Cases'!A:B,2,FALSE)</f>
        <v>Finance</v>
      </c>
      <c r="C4" s="23" t="str">
        <f>VLOOKUP('2. Use Cases'!H3,DesirabilityTable,2,FALSE)</f>
        <v>2</v>
      </c>
      <c r="D4" s="23" t="str">
        <f>VLOOKUP('2. Use Cases'!J3,ViabilityTable,2,FALSE)</f>
        <v>2</v>
      </c>
      <c r="E4" s="23" t="str">
        <f>VLOOKUP('2. Use Cases'!L3,FeasibilityTable,2,FALSE)</f>
        <v>2</v>
      </c>
      <c r="F4" s="23">
        <f>SUM(DVF_Filtering[[#This Row],[Desirability (1-5)]:[Feasibility (1-5)]])</f>
        <v>0</v>
      </c>
      <c r="G4" s="4" t="str">
        <f t="shared" si="0"/>
        <v>Fail</v>
      </c>
    </row>
    <row r="5" spans="1:8" x14ac:dyDescent="0.25">
      <c r="A5" s="9" t="s">
        <v>188</v>
      </c>
      <c r="B5" t="str">
        <f>VLOOKUP(DVF_Filtering[[#This Row],[ID]],'2. Use Cases'!A:B,2,FALSE)</f>
        <v>Analytics and Reporting</v>
      </c>
      <c r="C5" s="23" t="str">
        <f>VLOOKUP('2. Use Cases'!H4,DesirabilityTable,2,FALSE)</f>
        <v>2</v>
      </c>
      <c r="D5" s="23" t="str">
        <f>VLOOKUP('2. Use Cases'!J4,ViabilityTable,2,FALSE)</f>
        <v>2</v>
      </c>
      <c r="E5" s="23" t="str">
        <f>VLOOKUP('2. Use Cases'!L4,FeasibilityTable,2,FALSE)</f>
        <v>2</v>
      </c>
      <c r="F5" s="23">
        <f>SUM(DVF_Filtering[[#This Row],[Desirability (1-5)]:[Feasibility (1-5)]])</f>
        <v>0</v>
      </c>
      <c r="G5" s="4" t="str">
        <f t="shared" si="0"/>
        <v>Fail</v>
      </c>
    </row>
    <row r="6" spans="1:8" x14ac:dyDescent="0.25">
      <c r="A6" s="9" t="s">
        <v>189</v>
      </c>
      <c r="B6" t="str">
        <f>VLOOKUP(DVF_Filtering[[#This Row],[ID]],'2. Use Cases'!A:B,2,FALSE)</f>
        <v>Credit Risk</v>
      </c>
      <c r="C6" s="23" t="str">
        <f>VLOOKUP('2. Use Cases'!H5,DesirabilityTable,2,FALSE)</f>
        <v>2</v>
      </c>
      <c r="D6" s="23" t="str">
        <f>VLOOKUP('2. Use Cases'!J5,ViabilityTable,2,FALSE)</f>
        <v>2</v>
      </c>
      <c r="E6" s="23" t="str">
        <f>VLOOKUP('2. Use Cases'!L5,FeasibilityTable,2,FALSE)</f>
        <v>2</v>
      </c>
      <c r="F6" s="23">
        <f>SUM(DVF_Filtering[[#This Row],[Desirability (1-5)]:[Feasibility (1-5)]])</f>
        <v>0</v>
      </c>
      <c r="G6" s="4" t="str">
        <f t="shared" si="0"/>
        <v>Fail</v>
      </c>
    </row>
    <row r="7" spans="1:8" x14ac:dyDescent="0.25">
      <c r="A7" s="9" t="s">
        <v>190</v>
      </c>
      <c r="B7" t="str">
        <f>VLOOKUP(DVF_Filtering[[#This Row],[ID]],'2. Use Cases'!A:B,2,FALSE)</f>
        <v>Lending Ops</v>
      </c>
      <c r="C7" s="23" t="str">
        <f>VLOOKUP('2. Use Cases'!H6,DesirabilityTable,2,FALSE)</f>
        <v>2</v>
      </c>
      <c r="D7" s="23" t="str">
        <f>VLOOKUP('2. Use Cases'!J6,ViabilityTable,2,FALSE)</f>
        <v>2</v>
      </c>
      <c r="E7" s="23" t="str">
        <f>VLOOKUP('2. Use Cases'!L6,FeasibilityTable,2,FALSE)</f>
        <v>2</v>
      </c>
      <c r="F7" s="23">
        <f>SUM(DVF_Filtering[[#This Row],[Desirability (1-5)]:[Feasibility (1-5)]])</f>
        <v>0</v>
      </c>
      <c r="G7" s="4" t="str">
        <f t="shared" si="0"/>
        <v>Fail</v>
      </c>
    </row>
    <row r="8" spans="1:8" x14ac:dyDescent="0.25">
      <c r="A8" s="9" t="s">
        <v>191</v>
      </c>
      <c r="B8" t="str">
        <f>VLOOKUP(DVF_Filtering[[#This Row],[ID]],'2. Use Cases'!A:B,2,FALSE)</f>
        <v>HyperPersonalization</v>
      </c>
      <c r="C8" s="23" t="str">
        <f>VLOOKUP('2. Use Cases'!H7,DesirabilityTable,2,FALSE)</f>
        <v>2</v>
      </c>
      <c r="D8" s="23" t="str">
        <f>VLOOKUP('2. Use Cases'!J7,ViabilityTable,2,FALSE)</f>
        <v>2</v>
      </c>
      <c r="E8" s="23" t="str">
        <f>VLOOKUP('2. Use Cases'!L7,FeasibilityTable,2,FALSE)</f>
        <v>2</v>
      </c>
      <c r="F8" s="23">
        <f>SUM(DVF_Filtering[[#This Row],[Desirability (1-5)]:[Feasibility (1-5)]])</f>
        <v>0</v>
      </c>
      <c r="G8" s="4" t="str">
        <f t="shared" si="0"/>
        <v>Fail</v>
      </c>
    </row>
    <row r="9" spans="1:8" x14ac:dyDescent="0.25">
      <c r="A9" s="9" t="s">
        <v>192</v>
      </c>
      <c r="B9" t="str">
        <f>VLOOKUP(DVF_Filtering[[#This Row],[ID]],'2. Use Cases'!A:B,2,FALSE)</f>
        <v>Contact Centre</v>
      </c>
      <c r="C9" s="23" t="str">
        <f>VLOOKUP('2. Use Cases'!H8,DesirabilityTable,2,FALSE)</f>
        <v>2</v>
      </c>
      <c r="D9" s="23" t="str">
        <f>VLOOKUP('2. Use Cases'!J8,ViabilityTable,2,FALSE)</f>
        <v>2</v>
      </c>
      <c r="E9" s="23" t="str">
        <f>VLOOKUP('2. Use Cases'!L8,FeasibilityTable,2,FALSE)</f>
        <v>2</v>
      </c>
      <c r="F9" s="23">
        <f>SUM(DVF_Filtering[[#This Row],[Desirability (1-5)]:[Feasibility (1-5)]])</f>
        <v>0</v>
      </c>
      <c r="G9" s="4" t="str">
        <f t="shared" si="0"/>
        <v>Fail</v>
      </c>
    </row>
    <row r="10" spans="1:8" x14ac:dyDescent="0.25">
      <c r="A10" s="9" t="s">
        <v>193</v>
      </c>
      <c r="B10" t="str">
        <f>VLOOKUP(DVF_Filtering[[#This Row],[ID]],'2. Use Cases'!A:B,2,FALSE)</f>
        <v>Security AI</v>
      </c>
      <c r="C10" s="23" t="str">
        <f>VLOOKUP('2. Use Cases'!H9,DesirabilityTable,2,FALSE)</f>
        <v>2</v>
      </c>
      <c r="D10" s="23" t="str">
        <f>VLOOKUP('2. Use Cases'!J9,ViabilityTable,2,FALSE)</f>
        <v>2</v>
      </c>
      <c r="E10" s="23" t="str">
        <f>VLOOKUP('2. Use Cases'!L9,FeasibilityTable,2,FALSE)</f>
        <v>2</v>
      </c>
      <c r="F10" s="23">
        <f>SUM(DVF_Filtering[[#This Row],[Desirability (1-5)]:[Feasibility (1-5)]])</f>
        <v>0</v>
      </c>
      <c r="G10" s="4" t="str">
        <f t="shared" si="0"/>
        <v>Fail</v>
      </c>
    </row>
    <row r="11" spans="1:8" x14ac:dyDescent="0.25">
      <c r="A11" s="9" t="s">
        <v>194</v>
      </c>
      <c r="B11" t="str">
        <f>VLOOKUP(DVF_Filtering[[#This Row],[ID]],'2. Use Cases'!A:B,2,FALSE)</f>
        <v>Data Products</v>
      </c>
      <c r="C11" s="23" t="str">
        <f>VLOOKUP('2. Use Cases'!H10,DesirabilityTable,2,FALSE)</f>
        <v>2</v>
      </c>
      <c r="D11" s="23" t="str">
        <f>VLOOKUP('2. Use Cases'!J10,ViabilityTable,2,FALSE)</f>
        <v>2</v>
      </c>
      <c r="E11" s="23" t="str">
        <f>VLOOKUP('2. Use Cases'!L10,FeasibilityTable,2,FALSE)</f>
        <v>2</v>
      </c>
      <c r="F11" s="23">
        <f>SUM(DVF_Filtering[[#This Row],[Desirability (1-5)]:[Feasibility (1-5)]])</f>
        <v>0</v>
      </c>
      <c r="G11" s="4" t="str">
        <f t="shared" si="0"/>
        <v>Fail</v>
      </c>
    </row>
    <row r="12" spans="1:8" x14ac:dyDescent="0.25">
      <c r="A12" s="9" t="s">
        <v>195</v>
      </c>
      <c r="B12" t="str">
        <f>VLOOKUP(DVF_Filtering[[#This Row],[ID]],'2. Use Cases'!A:B,2,FALSE)</f>
        <v>SDLC</v>
      </c>
      <c r="C12" s="23" t="str">
        <f>VLOOKUP('2. Use Cases'!H11,DesirabilityTable,2,FALSE)</f>
        <v>2</v>
      </c>
      <c r="D12" s="23" t="str">
        <f>VLOOKUP('2. Use Cases'!J11,ViabilityTable,2,FALSE)</f>
        <v>2</v>
      </c>
      <c r="E12" s="23" t="str">
        <f>VLOOKUP('2. Use Cases'!L11,FeasibilityTable,2,FALSE)</f>
        <v>2</v>
      </c>
      <c r="F12" s="23">
        <f>SUM(DVF_Filtering[[#This Row],[Desirability (1-5)]:[Feasibility (1-5)]])</f>
        <v>0</v>
      </c>
      <c r="G12" s="4" t="str">
        <f t="shared" si="0"/>
        <v>Fail</v>
      </c>
    </row>
    <row r="13" spans="1:8" x14ac:dyDescent="0.25">
      <c r="A13" s="9" t="s">
        <v>196</v>
      </c>
      <c r="B13" t="str">
        <f>VLOOKUP(DVF_Filtering[[#This Row],[ID]],'2. Use Cases'!A:B,2,FALSE)</f>
        <v>Fincrime</v>
      </c>
      <c r="C13" s="23" t="str">
        <f>VLOOKUP('2. Use Cases'!H12,DesirabilityTable,2,FALSE)</f>
        <v>2</v>
      </c>
      <c r="D13" s="23" t="str">
        <f>VLOOKUP('2. Use Cases'!J12,ViabilityTable,2,FALSE)</f>
        <v>2</v>
      </c>
      <c r="E13" s="23" t="str">
        <f>VLOOKUP('2. Use Cases'!L12,FeasibilityTable,2,FALSE)</f>
        <v>2</v>
      </c>
      <c r="F13" s="23">
        <f>SUM(DVF_Filtering[[#This Row],[Desirability (1-5)]:[Feasibility (1-5)]])</f>
        <v>0</v>
      </c>
      <c r="G13" s="4" t="str">
        <f t="shared" si="0"/>
        <v>Fail</v>
      </c>
    </row>
    <row r="14" spans="1:8" x14ac:dyDescent="0.25">
      <c r="A14" s="9" t="s">
        <v>197</v>
      </c>
      <c r="B14" t="str">
        <f>VLOOKUP(DVF_Filtering[[#This Row],[ID]],'2. Use Cases'!A:B,2,FALSE)</f>
        <v>QA/QC</v>
      </c>
      <c r="C14" s="23" t="str">
        <f>VLOOKUP('2. Use Cases'!H13,DesirabilityTable,2,FALSE)</f>
        <v>2</v>
      </c>
      <c r="D14" s="23" t="str">
        <f>VLOOKUP('2. Use Cases'!J13,ViabilityTable,2,FALSE)</f>
        <v>2</v>
      </c>
      <c r="E14" s="23" t="str">
        <f>VLOOKUP('2. Use Cases'!L13,FeasibilityTable,2,FALSE)</f>
        <v>2</v>
      </c>
      <c r="F14" s="23">
        <f>SUM(DVF_Filtering[[#This Row],[Desirability (1-5)]:[Feasibility (1-5)]])</f>
        <v>0</v>
      </c>
      <c r="G14" s="4" t="str">
        <f t="shared" si="0"/>
        <v>Fail</v>
      </c>
    </row>
    <row r="15" spans="1:8" x14ac:dyDescent="0.25">
      <c r="A15" s="9" t="s">
        <v>198</v>
      </c>
      <c r="B15" t="str">
        <f>VLOOKUP(DVF_Filtering[[#This Row],[ID]],'2. Use Cases'!A:B,2,FALSE)</f>
        <v>Fraud Ops</v>
      </c>
      <c r="C15" s="23" t="str">
        <f>VLOOKUP('2. Use Cases'!H14,DesirabilityTable,2,FALSE)</f>
        <v>2</v>
      </c>
      <c r="D15" s="23" t="str">
        <f>VLOOKUP('2. Use Cases'!J14,ViabilityTable,2,FALSE)</f>
        <v>2</v>
      </c>
      <c r="E15" s="23" t="str">
        <f>VLOOKUP('2. Use Cases'!L14,FeasibilityTable,2,FALSE)</f>
        <v>2</v>
      </c>
      <c r="F15" s="23">
        <f>SUM(DVF_Filtering[[#This Row],[Desirability (1-5)]:[Feasibility (1-5)]])</f>
        <v>0</v>
      </c>
      <c r="G15" s="4" t="str">
        <f t="shared" si="0"/>
        <v>Fail</v>
      </c>
    </row>
    <row r="16" spans="1:8" x14ac:dyDescent="0.25">
      <c r="A16" s="9" t="s">
        <v>199</v>
      </c>
      <c r="B16" t="str">
        <f>VLOOKUP(DVF_Filtering[[#This Row],[ID]],'2. Use Cases'!A:B,2,FALSE)</f>
        <v>Onboarding</v>
      </c>
      <c r="C16" s="23" t="str">
        <f>VLOOKUP('2. Use Cases'!H15,DesirabilityTable,2,FALSE)</f>
        <v>2</v>
      </c>
      <c r="D16" s="23" t="str">
        <f>VLOOKUP('2. Use Cases'!J15,ViabilityTable,2,FALSE)</f>
        <v>2</v>
      </c>
      <c r="E16" s="23" t="str">
        <f>VLOOKUP('2. Use Cases'!L15,FeasibilityTable,2,FALSE)</f>
        <v>2</v>
      </c>
      <c r="F16" s="23">
        <f>SUM(DVF_Filtering[[#This Row],[Desirability (1-5)]:[Feasibility (1-5)]])</f>
        <v>0</v>
      </c>
      <c r="G16" s="4" t="str">
        <f t="shared" si="0"/>
        <v>Fail</v>
      </c>
    </row>
    <row r="17" spans="1:7" x14ac:dyDescent="0.25">
      <c r="A17" s="9" t="s">
        <v>200</v>
      </c>
      <c r="B17" t="str">
        <f>VLOOKUP(DVF_Filtering[[#This Row],[ID]],'2. Use Cases'!A:B,2,FALSE)</f>
        <v>Risk Functions</v>
      </c>
      <c r="C17" s="23" t="str">
        <f>VLOOKUP('2. Use Cases'!H16,DesirabilityTable,2,FALSE)</f>
        <v>2</v>
      </c>
      <c r="D17" s="23" t="str">
        <f>VLOOKUP('2. Use Cases'!J16,ViabilityTable,2,FALSE)</f>
        <v>2</v>
      </c>
      <c r="E17" s="23" t="str">
        <f>VLOOKUP('2. Use Cases'!L16,FeasibilityTable,2,FALSE)</f>
        <v>2</v>
      </c>
      <c r="F17" s="23">
        <f>SUM(DVF_Filtering[[#This Row],[Desirability (1-5)]:[Feasibility (1-5)]])</f>
        <v>0</v>
      </c>
      <c r="G17" s="4" t="str">
        <f t="shared" si="0"/>
        <v>Fail</v>
      </c>
    </row>
    <row r="18" spans="1:7" x14ac:dyDescent="0.25">
      <c r="A18" s="9" t="s">
        <v>201</v>
      </c>
      <c r="B18" t="str">
        <f>VLOOKUP(DVF_Filtering[[#This Row],[ID]],'2. Use Cases'!A:B,2,FALSE)</f>
        <v>IT Ops</v>
      </c>
      <c r="C18" s="23" t="str">
        <f>VLOOKUP('2. Use Cases'!H17,DesirabilityTable,2,FALSE)</f>
        <v>2</v>
      </c>
      <c r="D18" s="23" t="str">
        <f>VLOOKUP('2. Use Cases'!J17,ViabilityTable,2,FALSE)</f>
        <v>2</v>
      </c>
      <c r="E18" s="23" t="str">
        <f>VLOOKUP('2. Use Cases'!L17,FeasibilityTable,2,FALSE)</f>
        <v>2</v>
      </c>
      <c r="F18" s="23">
        <f>SUM(DVF_Filtering[[#This Row],[Desirability (1-5)]:[Feasibility (1-5)]])</f>
        <v>0</v>
      </c>
      <c r="G18" s="4" t="str">
        <f t="shared" si="0"/>
        <v>Fail</v>
      </c>
    </row>
    <row r="19" spans="1:7" x14ac:dyDescent="0.25">
      <c r="A19" s="9" t="s">
        <v>202</v>
      </c>
      <c r="B19" t="str">
        <f>VLOOKUP(DVF_Filtering[[#This Row],[ID]],'2. Use Cases'!A:B,2,FALSE)</f>
        <v>FrontLine - CIB</v>
      </c>
      <c r="C19" s="23" t="str">
        <f>VLOOKUP('2. Use Cases'!H18,DesirabilityTable,2,FALSE)</f>
        <v>2</v>
      </c>
      <c r="D19" s="23" t="str">
        <f>VLOOKUP('2. Use Cases'!J18,ViabilityTable,2,FALSE)</f>
        <v>2</v>
      </c>
      <c r="E19" s="23" t="str">
        <f>VLOOKUP('2. Use Cases'!L18,FeasibilityTable,2,FALSE)</f>
        <v>2</v>
      </c>
      <c r="F19" s="23">
        <f>SUM(DVF_Filtering[[#This Row],[Desirability (1-5)]:[Feasibility (1-5)]])</f>
        <v>0</v>
      </c>
      <c r="G19" s="4" t="str">
        <f t="shared" si="0"/>
        <v>Fail</v>
      </c>
    </row>
    <row r="20" spans="1:7" x14ac:dyDescent="0.25">
      <c r="A20" s="9" t="s">
        <v>203</v>
      </c>
      <c r="B20" t="str">
        <f>VLOOKUP(DVF_Filtering[[#This Row],[ID]],'2. Use Cases'!A:B,2,FALSE)</f>
        <v>Procurement</v>
      </c>
      <c r="C20" s="23" t="str">
        <f>VLOOKUP('2. Use Cases'!H19,DesirabilityTable,2,FALSE)</f>
        <v>2</v>
      </c>
      <c r="D20" s="23" t="str">
        <f>VLOOKUP('2. Use Cases'!J19,ViabilityTable,2,FALSE)</f>
        <v>2</v>
      </c>
      <c r="E20" s="23" t="str">
        <f>VLOOKUP('2. Use Cases'!L19,FeasibilityTable,2,FALSE)</f>
        <v>2</v>
      </c>
      <c r="F20" s="23">
        <f>SUM(DVF_Filtering[[#This Row],[Desirability (1-5)]:[Feasibility (1-5)]])</f>
        <v>0</v>
      </c>
      <c r="G20" s="4" t="str">
        <f t="shared" si="0"/>
        <v>Fail</v>
      </c>
    </row>
    <row r="21" spans="1:7" x14ac:dyDescent="0.25">
      <c r="A21" s="9" t="s">
        <v>204</v>
      </c>
      <c r="B21" t="str">
        <f>VLOOKUP(DVF_Filtering[[#This Row],[ID]],'2. Use Cases'!A:B,2,FALSE)</f>
        <v>Payment Disputes</v>
      </c>
      <c r="C21" s="23" t="str">
        <f>VLOOKUP('2. Use Cases'!H20,DesirabilityTable,2,FALSE)</f>
        <v>2</v>
      </c>
      <c r="D21" s="23" t="str">
        <f>VLOOKUP('2. Use Cases'!J20,ViabilityTable,2,FALSE)</f>
        <v>2</v>
      </c>
      <c r="E21" s="23" t="str">
        <f>VLOOKUP('2. Use Cases'!L20,FeasibilityTable,2,FALSE)</f>
        <v>2</v>
      </c>
      <c r="F21" s="23">
        <f>SUM(DVF_Filtering[[#This Row],[Desirability (1-5)]:[Feasibility (1-5)]])</f>
        <v>0</v>
      </c>
      <c r="G21" s="4" t="str">
        <f t="shared" si="0"/>
        <v>Fail</v>
      </c>
    </row>
    <row r="22" spans="1:7" x14ac:dyDescent="0.25">
      <c r="A22" s="9" t="s">
        <v>205</v>
      </c>
      <c r="B22" t="str">
        <f>VLOOKUP(DVF_Filtering[[#This Row],[ID]],'2. Use Cases'!A:B,2,FALSE)</f>
        <v>Controls Testing</v>
      </c>
      <c r="C22" s="23" t="str">
        <f>VLOOKUP('2. Use Cases'!H21,DesirabilityTable,2,FALSE)</f>
        <v>2</v>
      </c>
      <c r="D22" s="23" t="str">
        <f>VLOOKUP('2. Use Cases'!J21,ViabilityTable,2,FALSE)</f>
        <v>2</v>
      </c>
      <c r="E22" s="23" t="str">
        <f>VLOOKUP('2. Use Cases'!L21,FeasibilityTable,2,FALSE)</f>
        <v>2</v>
      </c>
      <c r="F22" s="23">
        <f>SUM(DVF_Filtering[[#This Row],[Desirability (1-5)]:[Feasibility (1-5)]])</f>
        <v>0</v>
      </c>
      <c r="G22" s="4" t="str">
        <f t="shared" si="0"/>
        <v>Fail</v>
      </c>
    </row>
    <row r="23" spans="1:7" x14ac:dyDescent="0.25">
      <c r="A23" s="9" t="s">
        <v>206</v>
      </c>
      <c r="B23" t="str">
        <f>VLOOKUP(DVF_Filtering[[#This Row],[ID]],'2. Use Cases'!A:B,2,FALSE)</f>
        <v>Wholesale Underwriting</v>
      </c>
      <c r="C23" s="23" t="str">
        <f>VLOOKUP('2. Use Cases'!H22,DesirabilityTable,2,FALSE)</f>
        <v>2</v>
      </c>
      <c r="D23" s="23" t="str">
        <f>VLOOKUP('2. Use Cases'!J22,ViabilityTable,2,FALSE)</f>
        <v>2</v>
      </c>
      <c r="E23" s="23" t="str">
        <f>VLOOKUP('2. Use Cases'!L22,FeasibilityTable,2,FALSE)</f>
        <v>2</v>
      </c>
      <c r="F23" s="23">
        <f>SUM(DVF_Filtering[[#This Row],[Desirability (1-5)]:[Feasibility (1-5)]])</f>
        <v>0</v>
      </c>
      <c r="G23" s="4" t="str">
        <f t="shared" si="0"/>
        <v>Fail</v>
      </c>
    </row>
    <row r="24" spans="1:7" x14ac:dyDescent="0.25">
      <c r="A24" s="9" t="s">
        <v>207</v>
      </c>
      <c r="B24" t="str">
        <f>VLOOKUP(DVF_Filtering[[#This Row],[ID]],'2. Use Cases'!A:B,2,FALSE)</f>
        <v>Learning Content</v>
      </c>
      <c r="C24" s="23" t="str">
        <f>VLOOKUP('2. Use Cases'!H23,DesirabilityTable,2,FALSE)</f>
        <v>2</v>
      </c>
      <c r="D24" s="23" t="str">
        <f>VLOOKUP('2. Use Cases'!J23,ViabilityTable,2,FALSE)</f>
        <v>2</v>
      </c>
      <c r="E24" s="23" t="str">
        <f>VLOOKUP('2. Use Cases'!L23,FeasibilityTable,2,FALSE)</f>
        <v>2</v>
      </c>
      <c r="F24" s="23">
        <f>SUM(DVF_Filtering[[#This Row],[Desirability (1-5)]:[Feasibility (1-5)]])</f>
        <v>0</v>
      </c>
      <c r="G24" s="4" t="str">
        <f t="shared" si="0"/>
        <v>Fail</v>
      </c>
    </row>
    <row r="25" spans="1:7" x14ac:dyDescent="0.25">
      <c r="A25" s="9" t="s">
        <v>208</v>
      </c>
      <c r="B25" t="str">
        <f>VLOOKUP(DVF_Filtering[[#This Row],[ID]],'2. Use Cases'!A:B,2,FALSE)</f>
        <v>Collection Management</v>
      </c>
      <c r="C25" s="23" t="str">
        <f>VLOOKUP('2. Use Cases'!H24,DesirabilityTable,2,FALSE)</f>
        <v>2</v>
      </c>
      <c r="D25" s="23" t="str">
        <f>VLOOKUP('2. Use Cases'!J24,ViabilityTable,2,FALSE)</f>
        <v>2</v>
      </c>
      <c r="E25" s="23" t="str">
        <f>VLOOKUP('2. Use Cases'!L24,FeasibilityTable,2,FALSE)</f>
        <v>2</v>
      </c>
      <c r="F25" s="23">
        <f>SUM(DVF_Filtering[[#This Row],[Desirability (1-5)]:[Feasibility (1-5)]])</f>
        <v>0</v>
      </c>
      <c r="G25" s="4" t="str">
        <f t="shared" si="0"/>
        <v>Fail</v>
      </c>
    </row>
    <row r="26" spans="1:7" x14ac:dyDescent="0.25">
      <c r="A26" s="9" t="s">
        <v>209</v>
      </c>
      <c r="B26" t="str">
        <f>VLOOKUP(DVF_Filtering[[#This Row],[ID]],'2. Use Cases'!A:B,2,FALSE)</f>
        <v>Front-end App Personalisation</v>
      </c>
      <c r="C26" s="23" t="str">
        <f>VLOOKUP('2. Use Cases'!H25,DesirabilityTable,2,FALSE)</f>
        <v>2</v>
      </c>
      <c r="D26" s="23" t="str">
        <f>VLOOKUP('2. Use Cases'!J25,ViabilityTable,2,FALSE)</f>
        <v>2</v>
      </c>
      <c r="E26" s="23" t="str">
        <f>VLOOKUP('2. Use Cases'!L25,FeasibilityTable,2,FALSE)</f>
        <v>2</v>
      </c>
      <c r="F26" s="23">
        <f>SUM(DVF_Filtering[[#This Row],[Desirability (1-5)]:[Feasibility (1-5)]])</f>
        <v>0</v>
      </c>
      <c r="G26" s="4" t="str">
        <f t="shared" si="0"/>
        <v>Fail</v>
      </c>
    </row>
  </sheetData>
  <mergeCells count="1">
    <mergeCell ref="A1:H1"/>
  </mergeCells>
  <conditionalFormatting sqref="G2:G26">
    <cfRule type="cellIs" dxfId="16" priority="1" operator="equal">
      <formula>"Pass"</formula>
    </cfRule>
    <cfRule type="cellIs" dxfId="15" priority="2" operator="equal">
      <formula>"Fail"</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6"/>
  <sheetViews>
    <sheetView workbookViewId="0">
      <pane ySplit="1" topLeftCell="A2" activePane="bottomLeft" state="frozen"/>
      <selection pane="bottomLeft" activeCell="C3" sqref="C3:C26"/>
    </sheetView>
  </sheetViews>
  <sheetFormatPr defaultRowHeight="15" x14ac:dyDescent="0.25"/>
  <cols>
    <col min="1" max="1" width="10" style="13" customWidth="1"/>
    <col min="2" max="2" width="35" style="13" customWidth="1"/>
    <col min="3" max="3" width="18" style="16" customWidth="1"/>
    <col min="4" max="4" width="16.28515625" style="16" customWidth="1"/>
    <col min="5" max="5" width="33.140625" style="16" customWidth="1"/>
    <col min="6" max="6" width="14.5703125" style="16" customWidth="1"/>
    <col min="7" max="7" width="15" style="16" customWidth="1"/>
    <col min="8" max="8" width="13" style="16" customWidth="1"/>
    <col min="9" max="9" width="12.42578125" style="16" customWidth="1"/>
  </cols>
  <sheetData>
    <row r="1" spans="1:9" ht="30" customHeight="1" x14ac:dyDescent="0.25">
      <c r="A1" s="18" t="s">
        <v>213</v>
      </c>
      <c r="C1" s="13"/>
      <c r="D1" s="13"/>
      <c r="E1" s="13"/>
      <c r="F1" s="13"/>
      <c r="G1" s="13"/>
      <c r="H1" s="13"/>
      <c r="I1" s="13"/>
    </row>
    <row r="2" spans="1:9" x14ac:dyDescent="0.25">
      <c r="A2" s="14" t="s">
        <v>0</v>
      </c>
      <c r="B2" s="14" t="s">
        <v>1</v>
      </c>
      <c r="C2" s="14" t="s">
        <v>210</v>
      </c>
      <c r="D2" s="14" t="s">
        <v>67</v>
      </c>
      <c r="E2" s="14" t="s">
        <v>211</v>
      </c>
      <c r="F2" s="14" t="s">
        <v>68</v>
      </c>
      <c r="G2" s="14" t="s">
        <v>212</v>
      </c>
      <c r="H2" s="14" t="s">
        <v>69</v>
      </c>
      <c r="I2" s="14" t="s">
        <v>70</v>
      </c>
    </row>
    <row r="3" spans="1:9" x14ac:dyDescent="0.25">
      <c r="A3" s="13" t="str">
        <f>'2. Use Cases'!A2</f>
        <v>UC01</v>
      </c>
      <c r="B3" s="15" t="str">
        <f>VLOOKUP(DVF_Filtering[[#This Row],[ID]],'2. Use Cases'!A:B,2,FALSE)</f>
        <v>FrontLine - Partnership Banking</v>
      </c>
      <c r="C3" s="16" t="str">
        <f>VLOOKUP('2. Use Cases'!F2,BusinessValueTable,2,FALSE)</f>
        <v>5</v>
      </c>
      <c r="D3" s="16">
        <v>1</v>
      </c>
      <c r="E3" s="16">
        <v>1</v>
      </c>
      <c r="F3" s="16">
        <f>C3+D3+E3</f>
        <v>7</v>
      </c>
      <c r="G3" s="16">
        <v>1</v>
      </c>
      <c r="H3" s="17">
        <f>IF(G3&gt;0,F3/G3,0)</f>
        <v>7</v>
      </c>
      <c r="I3" s="16">
        <f>IF(H3&gt;0,RANK(H3,H$3:H$25,0),"")</f>
        <v>1</v>
      </c>
    </row>
    <row r="4" spans="1:9" x14ac:dyDescent="0.25">
      <c r="A4" s="13" t="str">
        <f>'2. Use Cases'!A3</f>
        <v>UC02</v>
      </c>
      <c r="B4" s="15" t="str">
        <f>VLOOKUP(DVF_Filtering[[#This Row],[ID]],'2. Use Cases'!A:B,2,FALSE)</f>
        <v>Finance</v>
      </c>
      <c r="C4" s="16" t="str">
        <f>VLOOKUP('2. Use Cases'!F3,BusinessValueTable,2,FALSE)</f>
        <v>5</v>
      </c>
      <c r="D4" s="16">
        <v>1</v>
      </c>
      <c r="E4" s="16">
        <v>1</v>
      </c>
      <c r="F4" s="16">
        <f t="shared" ref="F4:F26" si="0">C4+D4+E4</f>
        <v>7</v>
      </c>
      <c r="G4" s="16">
        <v>1</v>
      </c>
      <c r="H4" s="17">
        <f t="shared" ref="H4:H26" si="1">IF(G4&gt;0,F4/G4,0)</f>
        <v>7</v>
      </c>
      <c r="I4" s="16">
        <f t="shared" ref="I4:I26" si="2">IF(H4&gt;0,RANK(H4,H$3:H$25,0),"")</f>
        <v>1</v>
      </c>
    </row>
    <row r="5" spans="1:9" x14ac:dyDescent="0.25">
      <c r="A5" s="13" t="str">
        <f>'2. Use Cases'!A4</f>
        <v>UC03</v>
      </c>
      <c r="B5" s="15" t="str">
        <f>VLOOKUP(DVF_Filtering[[#This Row],[ID]],'2. Use Cases'!A:B,2,FALSE)</f>
        <v>Analytics and Reporting</v>
      </c>
      <c r="C5" s="16" t="str">
        <f>VLOOKUP('2. Use Cases'!F4,BusinessValueTable,2,FALSE)</f>
        <v>5</v>
      </c>
      <c r="D5" s="16">
        <v>1</v>
      </c>
      <c r="E5" s="16">
        <v>1</v>
      </c>
      <c r="F5" s="16">
        <f t="shared" si="0"/>
        <v>7</v>
      </c>
      <c r="G5" s="16">
        <v>1</v>
      </c>
      <c r="H5" s="17">
        <f t="shared" si="1"/>
        <v>7</v>
      </c>
      <c r="I5" s="16">
        <f t="shared" si="2"/>
        <v>1</v>
      </c>
    </row>
    <row r="6" spans="1:9" x14ac:dyDescent="0.25">
      <c r="A6" s="13" t="str">
        <f>'2. Use Cases'!A5</f>
        <v>UC04</v>
      </c>
      <c r="B6" s="15" t="str">
        <f>VLOOKUP(DVF_Filtering[[#This Row],[ID]],'2. Use Cases'!A:B,2,FALSE)</f>
        <v>Credit Risk</v>
      </c>
      <c r="C6" s="16" t="str">
        <f>VLOOKUP('2. Use Cases'!F5,BusinessValueTable,2,FALSE)</f>
        <v>5</v>
      </c>
      <c r="D6" s="16">
        <v>1</v>
      </c>
      <c r="E6" s="16">
        <v>1</v>
      </c>
      <c r="F6" s="16">
        <f t="shared" si="0"/>
        <v>7</v>
      </c>
      <c r="G6" s="16">
        <v>1</v>
      </c>
      <c r="H6" s="17">
        <f t="shared" si="1"/>
        <v>7</v>
      </c>
      <c r="I6" s="16">
        <f t="shared" si="2"/>
        <v>1</v>
      </c>
    </row>
    <row r="7" spans="1:9" x14ac:dyDescent="0.25">
      <c r="A7" s="13" t="str">
        <f>'2. Use Cases'!A6</f>
        <v>UC05</v>
      </c>
      <c r="B7" s="15" t="str">
        <f>VLOOKUP(DVF_Filtering[[#This Row],[ID]],'2. Use Cases'!A:B,2,FALSE)</f>
        <v>Lending Ops</v>
      </c>
      <c r="C7" s="16" t="str">
        <f>VLOOKUP('2. Use Cases'!F6,BusinessValueTable,2,FALSE)</f>
        <v>5</v>
      </c>
      <c r="D7" s="16">
        <v>1</v>
      </c>
      <c r="E7" s="16">
        <v>1</v>
      </c>
      <c r="F7" s="16">
        <f t="shared" si="0"/>
        <v>7</v>
      </c>
      <c r="G7" s="16">
        <v>1</v>
      </c>
      <c r="H7" s="17">
        <f t="shared" si="1"/>
        <v>7</v>
      </c>
      <c r="I7" s="16">
        <f t="shared" si="2"/>
        <v>1</v>
      </c>
    </row>
    <row r="8" spans="1:9" x14ac:dyDescent="0.25">
      <c r="A8" s="13" t="str">
        <f>'2. Use Cases'!A7</f>
        <v>UC06</v>
      </c>
      <c r="B8" s="15" t="str">
        <f>VLOOKUP(DVF_Filtering[[#This Row],[ID]],'2. Use Cases'!A:B,2,FALSE)</f>
        <v>HyperPersonalization</v>
      </c>
      <c r="C8" s="16" t="str">
        <f>VLOOKUP('2. Use Cases'!F7,BusinessValueTable,2,FALSE)</f>
        <v>5</v>
      </c>
      <c r="D8" s="16">
        <v>1</v>
      </c>
      <c r="E8" s="16">
        <v>1</v>
      </c>
      <c r="F8" s="16">
        <f t="shared" si="0"/>
        <v>7</v>
      </c>
      <c r="G8" s="16">
        <v>1</v>
      </c>
      <c r="H8" s="17">
        <f t="shared" si="1"/>
        <v>7</v>
      </c>
      <c r="I8" s="16">
        <f t="shared" si="2"/>
        <v>1</v>
      </c>
    </row>
    <row r="9" spans="1:9" x14ac:dyDescent="0.25">
      <c r="A9" s="13" t="str">
        <f>'2. Use Cases'!A8</f>
        <v>UC07</v>
      </c>
      <c r="B9" s="15" t="str">
        <f>VLOOKUP(DVF_Filtering[[#This Row],[ID]],'2. Use Cases'!A:B,2,FALSE)</f>
        <v>Contact Centre</v>
      </c>
      <c r="C9" s="16" t="str">
        <f>VLOOKUP('2. Use Cases'!F8,BusinessValueTable,2,FALSE)</f>
        <v>5</v>
      </c>
      <c r="D9" s="16">
        <v>1</v>
      </c>
      <c r="E9" s="16">
        <v>1</v>
      </c>
      <c r="F9" s="16">
        <f t="shared" si="0"/>
        <v>7</v>
      </c>
      <c r="G9" s="16">
        <v>1</v>
      </c>
      <c r="H9" s="17">
        <f t="shared" si="1"/>
        <v>7</v>
      </c>
      <c r="I9" s="16">
        <f t="shared" si="2"/>
        <v>1</v>
      </c>
    </row>
    <row r="10" spans="1:9" x14ac:dyDescent="0.25">
      <c r="A10" s="13" t="str">
        <f>'2. Use Cases'!A9</f>
        <v>UC08</v>
      </c>
      <c r="B10" s="15" t="str">
        <f>VLOOKUP(DVF_Filtering[[#This Row],[ID]],'2. Use Cases'!A:B,2,FALSE)</f>
        <v>Security AI</v>
      </c>
      <c r="C10" s="16" t="str">
        <f>VLOOKUP('2. Use Cases'!F9,BusinessValueTable,2,FALSE)</f>
        <v>5</v>
      </c>
      <c r="D10" s="16">
        <v>1</v>
      </c>
      <c r="E10" s="16">
        <v>1</v>
      </c>
      <c r="F10" s="16">
        <f t="shared" si="0"/>
        <v>7</v>
      </c>
      <c r="G10" s="16">
        <v>1</v>
      </c>
      <c r="H10" s="17">
        <f t="shared" si="1"/>
        <v>7</v>
      </c>
      <c r="I10" s="16">
        <f t="shared" si="2"/>
        <v>1</v>
      </c>
    </row>
    <row r="11" spans="1:9" x14ac:dyDescent="0.25">
      <c r="A11" s="13" t="str">
        <f>'2. Use Cases'!A10</f>
        <v>UC09</v>
      </c>
      <c r="B11" s="15" t="str">
        <f>VLOOKUP(DVF_Filtering[[#This Row],[ID]],'2. Use Cases'!A:B,2,FALSE)</f>
        <v>Data Products</v>
      </c>
      <c r="C11" s="16" t="str">
        <f>VLOOKUP('2. Use Cases'!F10,BusinessValueTable,2,FALSE)</f>
        <v>5</v>
      </c>
      <c r="D11" s="16">
        <v>1</v>
      </c>
      <c r="E11" s="16">
        <v>1</v>
      </c>
      <c r="F11" s="16">
        <f t="shared" si="0"/>
        <v>7</v>
      </c>
      <c r="G11" s="16">
        <v>1</v>
      </c>
      <c r="H11" s="17">
        <f t="shared" si="1"/>
        <v>7</v>
      </c>
      <c r="I11" s="16">
        <f t="shared" si="2"/>
        <v>1</v>
      </c>
    </row>
    <row r="12" spans="1:9" x14ac:dyDescent="0.25">
      <c r="A12" s="13" t="str">
        <f>'2. Use Cases'!A11</f>
        <v>UC10</v>
      </c>
      <c r="B12" s="15" t="str">
        <f>VLOOKUP(DVF_Filtering[[#This Row],[ID]],'2. Use Cases'!A:B,2,FALSE)</f>
        <v>SDLC</v>
      </c>
      <c r="C12" s="16" t="str">
        <f>VLOOKUP('2. Use Cases'!F11,BusinessValueTable,2,FALSE)</f>
        <v>5</v>
      </c>
      <c r="D12" s="16">
        <v>1</v>
      </c>
      <c r="E12" s="16">
        <v>1</v>
      </c>
      <c r="F12" s="16">
        <f t="shared" si="0"/>
        <v>7</v>
      </c>
      <c r="G12" s="16">
        <v>1</v>
      </c>
      <c r="H12" s="17">
        <f t="shared" si="1"/>
        <v>7</v>
      </c>
      <c r="I12" s="16">
        <f t="shared" si="2"/>
        <v>1</v>
      </c>
    </row>
    <row r="13" spans="1:9" x14ac:dyDescent="0.25">
      <c r="A13" s="13" t="str">
        <f>'2. Use Cases'!A12</f>
        <v>UC11</v>
      </c>
      <c r="B13" s="15" t="str">
        <f>VLOOKUP(DVF_Filtering[[#This Row],[ID]],'2. Use Cases'!A:B,2,FALSE)</f>
        <v>Fincrime</v>
      </c>
      <c r="C13" s="16" t="str">
        <f>VLOOKUP('2. Use Cases'!F12,BusinessValueTable,2,FALSE)</f>
        <v>5</v>
      </c>
      <c r="D13" s="16">
        <v>1</v>
      </c>
      <c r="E13" s="16">
        <v>1</v>
      </c>
      <c r="F13" s="16">
        <f t="shared" si="0"/>
        <v>7</v>
      </c>
      <c r="G13" s="16">
        <v>1</v>
      </c>
      <c r="H13" s="17">
        <f t="shared" si="1"/>
        <v>7</v>
      </c>
      <c r="I13" s="16">
        <f t="shared" si="2"/>
        <v>1</v>
      </c>
    </row>
    <row r="14" spans="1:9" x14ac:dyDescent="0.25">
      <c r="A14" s="13" t="str">
        <f>'2. Use Cases'!A13</f>
        <v>UC12</v>
      </c>
      <c r="B14" s="15" t="str">
        <f>VLOOKUP(DVF_Filtering[[#This Row],[ID]],'2. Use Cases'!A:B,2,FALSE)</f>
        <v>QA/QC</v>
      </c>
      <c r="C14" s="16" t="str">
        <f>VLOOKUP('2. Use Cases'!F13,BusinessValueTable,2,FALSE)</f>
        <v>5</v>
      </c>
      <c r="D14" s="16">
        <v>1</v>
      </c>
      <c r="E14" s="16">
        <v>1</v>
      </c>
      <c r="F14" s="16">
        <f t="shared" si="0"/>
        <v>7</v>
      </c>
      <c r="G14" s="16">
        <v>1</v>
      </c>
      <c r="H14" s="17">
        <f t="shared" si="1"/>
        <v>7</v>
      </c>
      <c r="I14" s="16">
        <f t="shared" si="2"/>
        <v>1</v>
      </c>
    </row>
    <row r="15" spans="1:9" x14ac:dyDescent="0.25">
      <c r="A15" s="13" t="str">
        <f>'2. Use Cases'!A14</f>
        <v>UC13</v>
      </c>
      <c r="B15" s="15" t="str">
        <f>VLOOKUP(DVF_Filtering[[#This Row],[ID]],'2. Use Cases'!A:B,2,FALSE)</f>
        <v>Fraud Ops</v>
      </c>
      <c r="C15" s="16" t="str">
        <f>VLOOKUP('2. Use Cases'!F14,BusinessValueTable,2,FALSE)</f>
        <v>5</v>
      </c>
      <c r="D15" s="16">
        <v>1</v>
      </c>
      <c r="E15" s="16">
        <v>1</v>
      </c>
      <c r="F15" s="16">
        <f t="shared" si="0"/>
        <v>7</v>
      </c>
      <c r="G15" s="16">
        <v>1</v>
      </c>
      <c r="H15" s="17">
        <f t="shared" si="1"/>
        <v>7</v>
      </c>
      <c r="I15" s="16">
        <f t="shared" si="2"/>
        <v>1</v>
      </c>
    </row>
    <row r="16" spans="1:9" x14ac:dyDescent="0.25">
      <c r="A16" s="13" t="str">
        <f>'2. Use Cases'!A15</f>
        <v>UC14</v>
      </c>
      <c r="B16" s="15" t="str">
        <f>VLOOKUP(DVF_Filtering[[#This Row],[ID]],'2. Use Cases'!A:B,2,FALSE)</f>
        <v>Onboarding</v>
      </c>
      <c r="C16" s="16" t="str">
        <f>VLOOKUP('2. Use Cases'!F15,BusinessValueTable,2,FALSE)</f>
        <v>5</v>
      </c>
      <c r="D16" s="16">
        <v>1</v>
      </c>
      <c r="E16" s="16">
        <v>1</v>
      </c>
      <c r="F16" s="16">
        <f t="shared" si="0"/>
        <v>7</v>
      </c>
      <c r="G16" s="16">
        <v>1</v>
      </c>
      <c r="H16" s="17">
        <f t="shared" si="1"/>
        <v>7</v>
      </c>
      <c r="I16" s="16">
        <f t="shared" si="2"/>
        <v>1</v>
      </c>
    </row>
    <row r="17" spans="1:9" x14ac:dyDescent="0.25">
      <c r="A17" s="13" t="str">
        <f>'2. Use Cases'!A16</f>
        <v>UC15</v>
      </c>
      <c r="B17" s="15" t="str">
        <f>VLOOKUP(DVF_Filtering[[#This Row],[ID]],'2. Use Cases'!A:B,2,FALSE)</f>
        <v>Risk Functions</v>
      </c>
      <c r="C17" s="16" t="str">
        <f>VLOOKUP('2. Use Cases'!F16,BusinessValueTable,2,FALSE)</f>
        <v>5</v>
      </c>
      <c r="D17" s="16">
        <v>1</v>
      </c>
      <c r="E17" s="16">
        <v>1</v>
      </c>
      <c r="F17" s="16">
        <f t="shared" si="0"/>
        <v>7</v>
      </c>
      <c r="G17" s="16">
        <v>1</v>
      </c>
      <c r="H17" s="17">
        <f t="shared" si="1"/>
        <v>7</v>
      </c>
      <c r="I17" s="16">
        <f t="shared" si="2"/>
        <v>1</v>
      </c>
    </row>
    <row r="18" spans="1:9" x14ac:dyDescent="0.25">
      <c r="A18" s="13" t="str">
        <f>'2. Use Cases'!A17</f>
        <v>UC16</v>
      </c>
      <c r="B18" s="15" t="str">
        <f>VLOOKUP(DVF_Filtering[[#This Row],[ID]],'2. Use Cases'!A:B,2,FALSE)</f>
        <v>IT Ops</v>
      </c>
      <c r="C18" s="16" t="str">
        <f>VLOOKUP('2. Use Cases'!F17,BusinessValueTable,2,FALSE)</f>
        <v>5</v>
      </c>
      <c r="D18" s="16">
        <v>1</v>
      </c>
      <c r="E18" s="16">
        <v>1</v>
      </c>
      <c r="F18" s="16">
        <f t="shared" si="0"/>
        <v>7</v>
      </c>
      <c r="G18" s="16">
        <v>1</v>
      </c>
      <c r="H18" s="17">
        <f t="shared" si="1"/>
        <v>7</v>
      </c>
      <c r="I18" s="16">
        <f t="shared" si="2"/>
        <v>1</v>
      </c>
    </row>
    <row r="19" spans="1:9" x14ac:dyDescent="0.25">
      <c r="A19" s="13" t="str">
        <f>'2. Use Cases'!A18</f>
        <v>UC17</v>
      </c>
      <c r="B19" s="15" t="str">
        <f>VLOOKUP(DVF_Filtering[[#This Row],[ID]],'2. Use Cases'!A:B,2,FALSE)</f>
        <v>FrontLine - CIB</v>
      </c>
      <c r="C19" s="16" t="str">
        <f>VLOOKUP('2. Use Cases'!F18,BusinessValueTable,2,FALSE)</f>
        <v>5</v>
      </c>
      <c r="D19" s="16">
        <v>1</v>
      </c>
      <c r="E19" s="16">
        <v>1</v>
      </c>
      <c r="F19" s="16">
        <f t="shared" si="0"/>
        <v>7</v>
      </c>
      <c r="G19" s="16">
        <v>1</v>
      </c>
      <c r="H19" s="17">
        <f t="shared" si="1"/>
        <v>7</v>
      </c>
      <c r="I19" s="16">
        <f t="shared" si="2"/>
        <v>1</v>
      </c>
    </row>
    <row r="20" spans="1:9" x14ac:dyDescent="0.25">
      <c r="A20" s="13" t="str">
        <f>'2. Use Cases'!A19</f>
        <v>UC18</v>
      </c>
      <c r="B20" s="15" t="str">
        <f>VLOOKUP(DVF_Filtering[[#This Row],[ID]],'2. Use Cases'!A:B,2,FALSE)</f>
        <v>Procurement</v>
      </c>
      <c r="C20" s="16" t="str">
        <f>VLOOKUP('2. Use Cases'!F19,BusinessValueTable,2,FALSE)</f>
        <v>5</v>
      </c>
      <c r="D20" s="16">
        <v>1</v>
      </c>
      <c r="E20" s="16">
        <v>1</v>
      </c>
      <c r="F20" s="16">
        <f t="shared" si="0"/>
        <v>7</v>
      </c>
      <c r="G20" s="16">
        <v>1</v>
      </c>
      <c r="H20" s="17">
        <f t="shared" si="1"/>
        <v>7</v>
      </c>
      <c r="I20" s="16">
        <f t="shared" si="2"/>
        <v>1</v>
      </c>
    </row>
    <row r="21" spans="1:9" x14ac:dyDescent="0.25">
      <c r="A21" s="13" t="str">
        <f>'2. Use Cases'!A20</f>
        <v>UC19</v>
      </c>
      <c r="B21" s="15" t="str">
        <f>VLOOKUP(DVF_Filtering[[#This Row],[ID]],'2. Use Cases'!A:B,2,FALSE)</f>
        <v>Payment Disputes</v>
      </c>
      <c r="C21" s="16" t="str">
        <f>VLOOKUP('2. Use Cases'!F20,BusinessValueTable,2,FALSE)</f>
        <v>5</v>
      </c>
      <c r="D21" s="16">
        <v>1</v>
      </c>
      <c r="E21" s="16">
        <v>1</v>
      </c>
      <c r="F21" s="16">
        <f t="shared" si="0"/>
        <v>7</v>
      </c>
      <c r="G21" s="16">
        <v>1</v>
      </c>
      <c r="H21" s="17">
        <f t="shared" si="1"/>
        <v>7</v>
      </c>
      <c r="I21" s="16">
        <f t="shared" si="2"/>
        <v>1</v>
      </c>
    </row>
    <row r="22" spans="1:9" x14ac:dyDescent="0.25">
      <c r="A22" s="13" t="str">
        <f>'2. Use Cases'!A21</f>
        <v>UC20</v>
      </c>
      <c r="B22" s="15" t="str">
        <f>VLOOKUP(DVF_Filtering[[#This Row],[ID]],'2. Use Cases'!A:B,2,FALSE)</f>
        <v>Controls Testing</v>
      </c>
      <c r="C22" s="16" t="str">
        <f>VLOOKUP('2. Use Cases'!F21,BusinessValueTable,2,FALSE)</f>
        <v>5</v>
      </c>
      <c r="D22" s="16">
        <v>1</v>
      </c>
      <c r="E22" s="16">
        <v>1</v>
      </c>
      <c r="F22" s="16">
        <f t="shared" si="0"/>
        <v>7</v>
      </c>
      <c r="G22" s="16">
        <v>1</v>
      </c>
      <c r="H22" s="17">
        <f t="shared" si="1"/>
        <v>7</v>
      </c>
      <c r="I22" s="16">
        <f t="shared" si="2"/>
        <v>1</v>
      </c>
    </row>
    <row r="23" spans="1:9" x14ac:dyDescent="0.25">
      <c r="A23" s="13" t="str">
        <f>'2. Use Cases'!A22</f>
        <v>UC21</v>
      </c>
      <c r="B23" s="15" t="str">
        <f>VLOOKUP(DVF_Filtering[[#This Row],[ID]],'2. Use Cases'!A:B,2,FALSE)</f>
        <v>Wholesale Underwriting</v>
      </c>
      <c r="C23" s="16" t="str">
        <f>VLOOKUP('2. Use Cases'!F22,BusinessValueTable,2,FALSE)</f>
        <v>5</v>
      </c>
      <c r="D23" s="16">
        <v>1</v>
      </c>
      <c r="E23" s="16">
        <v>1</v>
      </c>
      <c r="F23" s="16">
        <f t="shared" si="0"/>
        <v>7</v>
      </c>
      <c r="G23" s="16">
        <v>1</v>
      </c>
      <c r="H23" s="17">
        <f t="shared" si="1"/>
        <v>7</v>
      </c>
      <c r="I23" s="16">
        <f t="shared" si="2"/>
        <v>1</v>
      </c>
    </row>
    <row r="24" spans="1:9" x14ac:dyDescent="0.25">
      <c r="A24" s="13" t="str">
        <f>'2. Use Cases'!A23</f>
        <v>UC22</v>
      </c>
      <c r="B24" s="15" t="str">
        <f>VLOOKUP(DVF_Filtering[[#This Row],[ID]],'2. Use Cases'!A:B,2,FALSE)</f>
        <v>Learning Content</v>
      </c>
      <c r="C24" s="16" t="str">
        <f>VLOOKUP('2. Use Cases'!F23,BusinessValueTable,2,FALSE)</f>
        <v>5</v>
      </c>
      <c r="D24" s="16">
        <v>1</v>
      </c>
      <c r="E24" s="16">
        <v>1</v>
      </c>
      <c r="F24" s="16">
        <f t="shared" si="0"/>
        <v>7</v>
      </c>
      <c r="G24" s="16">
        <v>1</v>
      </c>
      <c r="H24" s="17">
        <f t="shared" si="1"/>
        <v>7</v>
      </c>
      <c r="I24" s="16">
        <f t="shared" si="2"/>
        <v>1</v>
      </c>
    </row>
    <row r="25" spans="1:9" x14ac:dyDescent="0.25">
      <c r="A25" s="13" t="str">
        <f>'2. Use Cases'!A24</f>
        <v>UC23</v>
      </c>
      <c r="B25" s="15" t="str">
        <f>VLOOKUP(DVF_Filtering[[#This Row],[ID]],'2. Use Cases'!A:B,2,FALSE)</f>
        <v>Collection Management</v>
      </c>
      <c r="C25" s="16" t="str">
        <f>VLOOKUP('2. Use Cases'!F24,BusinessValueTable,2,FALSE)</f>
        <v>5</v>
      </c>
      <c r="D25" s="16">
        <v>1</v>
      </c>
      <c r="E25" s="16">
        <v>1</v>
      </c>
      <c r="F25" s="16">
        <f t="shared" si="0"/>
        <v>7</v>
      </c>
      <c r="G25" s="16">
        <v>1</v>
      </c>
      <c r="H25" s="17">
        <f t="shared" si="1"/>
        <v>7</v>
      </c>
      <c r="I25" s="16">
        <f t="shared" si="2"/>
        <v>1</v>
      </c>
    </row>
    <row r="26" spans="1:9" x14ac:dyDescent="0.25">
      <c r="A26" s="13" t="str">
        <f>'2. Use Cases'!A25</f>
        <v>UC24</v>
      </c>
      <c r="B26" s="15" t="str">
        <f>VLOOKUP(DVF_Filtering[[#This Row],[ID]],'2. Use Cases'!A:B,2,FALSE)</f>
        <v>Front-end App Personalisation</v>
      </c>
      <c r="C26" s="16" t="str">
        <f>VLOOKUP('2. Use Cases'!F25,BusinessValueTable,2,FALSE)</f>
        <v>5</v>
      </c>
      <c r="D26" s="16">
        <v>1</v>
      </c>
      <c r="E26" s="16">
        <v>1</v>
      </c>
      <c r="F26" s="16">
        <f t="shared" si="0"/>
        <v>7</v>
      </c>
      <c r="G26" s="16">
        <v>1</v>
      </c>
      <c r="H26" s="17">
        <f t="shared" si="1"/>
        <v>7</v>
      </c>
      <c r="I26" s="16">
        <f t="shared" si="2"/>
        <v>1</v>
      </c>
    </row>
  </sheetData>
  <conditionalFormatting sqref="I2:I26">
    <cfRule type="cellIs" dxfId="14" priority="1" operator="lessThanOrEqual">
      <formula>5</formula>
    </cfRule>
    <cfRule type="cellIs" dxfId="13" priority="2" operator="between">
      <formula>6</formula>
      <formula>10</formula>
    </cfRule>
    <cfRule type="cellIs" dxfId="12" priority="3" operator="between">
      <formula>11</formula>
      <formula>15</formula>
    </cfRule>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6"/>
  <sheetViews>
    <sheetView workbookViewId="0">
      <pane ySplit="1" topLeftCell="A2" activePane="bottomLeft" state="frozen"/>
      <selection pane="bottomLeft" sqref="A1:H1"/>
    </sheetView>
  </sheetViews>
  <sheetFormatPr defaultRowHeight="15" x14ac:dyDescent="0.25"/>
  <cols>
    <col min="1" max="1" width="10" customWidth="1"/>
    <col min="2" max="2" width="35" customWidth="1"/>
    <col min="3" max="3" width="12" customWidth="1"/>
    <col min="4" max="5" width="30" customWidth="1"/>
    <col min="6" max="6" width="15" customWidth="1"/>
    <col min="7" max="7" width="18" customWidth="1"/>
    <col min="8" max="8" width="50" customWidth="1"/>
  </cols>
  <sheetData>
    <row r="1" spans="1:8" ht="30" customHeight="1" x14ac:dyDescent="0.25">
      <c r="A1" s="36" t="s">
        <v>71</v>
      </c>
      <c r="B1" s="34"/>
      <c r="C1" s="34"/>
      <c r="D1" s="34"/>
      <c r="E1" s="34"/>
      <c r="F1" s="34"/>
      <c r="G1" s="34"/>
      <c r="H1" s="34"/>
    </row>
    <row r="2" spans="1:8" ht="30" x14ac:dyDescent="0.25">
      <c r="A2" s="1" t="s">
        <v>0</v>
      </c>
      <c r="B2" s="1" t="s">
        <v>1</v>
      </c>
      <c r="C2" s="1" t="s">
        <v>70</v>
      </c>
      <c r="D2" s="1" t="s">
        <v>72</v>
      </c>
      <c r="E2" s="1" t="s">
        <v>73</v>
      </c>
      <c r="F2" s="1" t="s">
        <v>74</v>
      </c>
      <c r="G2" s="1" t="s">
        <v>75</v>
      </c>
      <c r="H2" s="1" t="s">
        <v>76</v>
      </c>
    </row>
    <row r="3" spans="1:8" x14ac:dyDescent="0.25">
      <c r="A3" t="str">
        <f>'2. Use Cases'!A2</f>
        <v>UC01</v>
      </c>
      <c r="B3" t="str">
        <f>'2. Use Cases'!B2</f>
        <v>FrontLine - Partnership Banking</v>
      </c>
      <c r="C3">
        <f>'4. WSJF Scoring'!I3</f>
        <v>1</v>
      </c>
    </row>
    <row r="4" spans="1:8" x14ac:dyDescent="0.25">
      <c r="A4" t="str">
        <f>'2. Use Cases'!A3</f>
        <v>UC02</v>
      </c>
      <c r="B4" t="str">
        <f>'2. Use Cases'!B3</f>
        <v>Finance</v>
      </c>
      <c r="C4">
        <f>'4. WSJF Scoring'!I4</f>
        <v>1</v>
      </c>
    </row>
    <row r="5" spans="1:8" x14ac:dyDescent="0.25">
      <c r="A5" t="str">
        <f>'2. Use Cases'!A4</f>
        <v>UC03</v>
      </c>
      <c r="B5" t="str">
        <f>'2. Use Cases'!B4</f>
        <v>Analytics and Reporting</v>
      </c>
      <c r="C5">
        <f>'4. WSJF Scoring'!I5</f>
        <v>1</v>
      </c>
    </row>
    <row r="6" spans="1:8" x14ac:dyDescent="0.25">
      <c r="A6" t="str">
        <f>'2. Use Cases'!A5</f>
        <v>UC04</v>
      </c>
      <c r="B6" t="str">
        <f>'2. Use Cases'!B5</f>
        <v>Credit Risk</v>
      </c>
      <c r="C6">
        <f>'4. WSJF Scoring'!I6</f>
        <v>1</v>
      </c>
    </row>
    <row r="7" spans="1:8" x14ac:dyDescent="0.25">
      <c r="A7" t="str">
        <f>'2. Use Cases'!A6</f>
        <v>UC05</v>
      </c>
      <c r="B7" t="str">
        <f>'2. Use Cases'!B6</f>
        <v>Lending Ops</v>
      </c>
      <c r="C7">
        <f>'4. WSJF Scoring'!I7</f>
        <v>1</v>
      </c>
    </row>
    <row r="8" spans="1:8" x14ac:dyDescent="0.25">
      <c r="A8" t="str">
        <f>'2. Use Cases'!A7</f>
        <v>UC06</v>
      </c>
      <c r="B8" t="str">
        <f>'2. Use Cases'!B7</f>
        <v>HyperPersonalization</v>
      </c>
      <c r="C8">
        <f>'4. WSJF Scoring'!I8</f>
        <v>1</v>
      </c>
    </row>
    <row r="9" spans="1:8" x14ac:dyDescent="0.25">
      <c r="A9" t="str">
        <f>'2. Use Cases'!A8</f>
        <v>UC07</v>
      </c>
      <c r="B9" t="str">
        <f>'2. Use Cases'!B8</f>
        <v>Contact Centre</v>
      </c>
      <c r="C9">
        <f>'4. WSJF Scoring'!I9</f>
        <v>1</v>
      </c>
    </row>
    <row r="10" spans="1:8" x14ac:dyDescent="0.25">
      <c r="A10" t="str">
        <f>'2. Use Cases'!A9</f>
        <v>UC08</v>
      </c>
      <c r="B10" t="str">
        <f>'2. Use Cases'!B9</f>
        <v>Security AI</v>
      </c>
      <c r="C10">
        <f>'4. WSJF Scoring'!I10</f>
        <v>1</v>
      </c>
    </row>
    <row r="11" spans="1:8" x14ac:dyDescent="0.25">
      <c r="A11" t="str">
        <f>'2. Use Cases'!A10</f>
        <v>UC09</v>
      </c>
      <c r="B11" t="str">
        <f>'2. Use Cases'!B10</f>
        <v>Data Products</v>
      </c>
      <c r="C11">
        <f>'4. WSJF Scoring'!I11</f>
        <v>1</v>
      </c>
    </row>
    <row r="12" spans="1:8" x14ac:dyDescent="0.25">
      <c r="A12" t="str">
        <f>'2. Use Cases'!A11</f>
        <v>UC10</v>
      </c>
      <c r="B12" t="str">
        <f>'2. Use Cases'!B11</f>
        <v>SDLC</v>
      </c>
      <c r="C12">
        <f>'4. WSJF Scoring'!I12</f>
        <v>1</v>
      </c>
    </row>
    <row r="13" spans="1:8" x14ac:dyDescent="0.25">
      <c r="A13" t="str">
        <f>'2. Use Cases'!A12</f>
        <v>UC11</v>
      </c>
      <c r="B13" t="str">
        <f>'2. Use Cases'!B12</f>
        <v>Fincrime</v>
      </c>
      <c r="C13">
        <f>'4. WSJF Scoring'!I13</f>
        <v>1</v>
      </c>
    </row>
    <row r="14" spans="1:8" x14ac:dyDescent="0.25">
      <c r="A14" t="str">
        <f>'2. Use Cases'!A13</f>
        <v>UC12</v>
      </c>
      <c r="B14" t="str">
        <f>'2. Use Cases'!B13</f>
        <v>QA/QC</v>
      </c>
      <c r="C14">
        <f>'4. WSJF Scoring'!I14</f>
        <v>1</v>
      </c>
    </row>
    <row r="15" spans="1:8" x14ac:dyDescent="0.25">
      <c r="A15" t="str">
        <f>'2. Use Cases'!A14</f>
        <v>UC13</v>
      </c>
      <c r="B15" t="str">
        <f>'2. Use Cases'!B14</f>
        <v>Fraud Ops</v>
      </c>
      <c r="C15">
        <f>'4. WSJF Scoring'!I15</f>
        <v>1</v>
      </c>
    </row>
    <row r="16" spans="1:8" x14ac:dyDescent="0.25">
      <c r="A16" t="str">
        <f>'2. Use Cases'!A15</f>
        <v>UC14</v>
      </c>
      <c r="B16" t="str">
        <f>'2. Use Cases'!B15</f>
        <v>Onboarding</v>
      </c>
      <c r="C16">
        <f>'4. WSJF Scoring'!I16</f>
        <v>1</v>
      </c>
    </row>
    <row r="17" spans="1:3" x14ac:dyDescent="0.25">
      <c r="A17" t="str">
        <f>'2. Use Cases'!A16</f>
        <v>UC15</v>
      </c>
      <c r="B17" t="str">
        <f>'2. Use Cases'!B16</f>
        <v>Risk Functions</v>
      </c>
      <c r="C17">
        <f>'4. WSJF Scoring'!I17</f>
        <v>1</v>
      </c>
    </row>
    <row r="18" spans="1:3" x14ac:dyDescent="0.25">
      <c r="A18" t="str">
        <f>'2. Use Cases'!A17</f>
        <v>UC16</v>
      </c>
      <c r="B18" t="str">
        <f>'2. Use Cases'!B17</f>
        <v>IT Ops</v>
      </c>
      <c r="C18">
        <f>'4. WSJF Scoring'!I18</f>
        <v>1</v>
      </c>
    </row>
    <row r="19" spans="1:3" x14ac:dyDescent="0.25">
      <c r="A19" t="str">
        <f>'2. Use Cases'!A18</f>
        <v>UC17</v>
      </c>
      <c r="B19" t="str">
        <f>'2. Use Cases'!B18</f>
        <v>FrontLine - CIB</v>
      </c>
      <c r="C19">
        <f>'4. WSJF Scoring'!I19</f>
        <v>1</v>
      </c>
    </row>
    <row r="20" spans="1:3" x14ac:dyDescent="0.25">
      <c r="A20" t="str">
        <f>'2. Use Cases'!A19</f>
        <v>UC18</v>
      </c>
      <c r="B20" t="str">
        <f>'2. Use Cases'!B19</f>
        <v>Procurement</v>
      </c>
      <c r="C20">
        <f>'4. WSJF Scoring'!I20</f>
        <v>1</v>
      </c>
    </row>
    <row r="21" spans="1:3" x14ac:dyDescent="0.25">
      <c r="A21" t="str">
        <f>'2. Use Cases'!A20</f>
        <v>UC19</v>
      </c>
      <c r="B21" t="str">
        <f>'2. Use Cases'!B20</f>
        <v>Payment Disputes</v>
      </c>
      <c r="C21">
        <f>'4. WSJF Scoring'!I21</f>
        <v>1</v>
      </c>
    </row>
    <row r="22" spans="1:3" x14ac:dyDescent="0.25">
      <c r="A22" t="str">
        <f>'2. Use Cases'!A21</f>
        <v>UC20</v>
      </c>
      <c r="B22" t="str">
        <f>'2. Use Cases'!B21</f>
        <v>Controls Testing</v>
      </c>
      <c r="C22">
        <f>'4. WSJF Scoring'!I22</f>
        <v>1</v>
      </c>
    </row>
    <row r="23" spans="1:3" x14ac:dyDescent="0.25">
      <c r="A23" t="str">
        <f>'2. Use Cases'!A22</f>
        <v>UC21</v>
      </c>
      <c r="B23" t="str">
        <f>'2. Use Cases'!B22</f>
        <v>Wholesale Underwriting</v>
      </c>
      <c r="C23">
        <f>'4. WSJF Scoring'!I23</f>
        <v>1</v>
      </c>
    </row>
    <row r="24" spans="1:3" x14ac:dyDescent="0.25">
      <c r="A24" t="str">
        <f>'2. Use Cases'!A23</f>
        <v>UC22</v>
      </c>
      <c r="B24" t="str">
        <f>'2. Use Cases'!B23</f>
        <v>Learning Content</v>
      </c>
      <c r="C24">
        <f>'4. WSJF Scoring'!I24</f>
        <v>1</v>
      </c>
    </row>
    <row r="25" spans="1:3" x14ac:dyDescent="0.25">
      <c r="A25" t="str">
        <f>'2. Use Cases'!A24</f>
        <v>UC23</v>
      </c>
      <c r="B25" t="str">
        <f>'2. Use Cases'!B24</f>
        <v>Collection Management</v>
      </c>
      <c r="C25">
        <f>'4. WSJF Scoring'!I25</f>
        <v>1</v>
      </c>
    </row>
    <row r="26" spans="1:3" x14ac:dyDescent="0.25">
      <c r="A26" t="str">
        <f>'2. Use Cases'!A25</f>
        <v>UC24</v>
      </c>
      <c r="B26" t="str">
        <f>'2. Use Cases'!B25</f>
        <v>Front-end App Personalisation</v>
      </c>
      <c r="C26">
        <f>'4. WSJF Scoring'!I26</f>
        <v>1</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workbookViewId="0">
      <pane ySplit="1" topLeftCell="A2" activePane="bottomLeft" state="frozen"/>
      <selection pane="bottomLeft" activeCell="J3" sqref="J3"/>
    </sheetView>
  </sheetViews>
  <sheetFormatPr defaultRowHeight="15" x14ac:dyDescent="0.25"/>
  <cols>
    <col min="1" max="1" width="10" style="4" customWidth="1"/>
    <col min="2" max="2" width="35" customWidth="1"/>
    <col min="3" max="3" width="12.42578125" style="4" customWidth="1"/>
    <col min="4" max="4" width="14.5703125" style="4" customWidth="1"/>
    <col min="5" max="5" width="13.7109375" style="4" customWidth="1"/>
    <col min="6" max="7" width="12" style="4" customWidth="1"/>
    <col min="8" max="8" width="15" style="4" customWidth="1"/>
    <col min="9" max="11" width="10" style="4" customWidth="1"/>
    <col min="12" max="12" width="50" customWidth="1"/>
  </cols>
  <sheetData>
    <row r="1" spans="1:12" ht="30" customHeight="1" x14ac:dyDescent="0.25">
      <c r="A1" s="36" t="s">
        <v>216</v>
      </c>
      <c r="B1" s="34"/>
      <c r="C1" s="34"/>
      <c r="D1" s="34"/>
      <c r="E1" s="34"/>
      <c r="F1" s="34"/>
      <c r="G1" s="34"/>
      <c r="H1" s="34"/>
      <c r="I1" s="34"/>
      <c r="J1" s="34"/>
      <c r="K1" s="34"/>
      <c r="L1" s="34"/>
    </row>
    <row r="2" spans="1:12" x14ac:dyDescent="0.25">
      <c r="A2" s="5" t="s">
        <v>0</v>
      </c>
      <c r="B2" s="5" t="s">
        <v>1</v>
      </c>
      <c r="C2" s="5" t="s">
        <v>70</v>
      </c>
      <c r="D2" s="5" t="s">
        <v>68</v>
      </c>
      <c r="E2" s="5" t="s">
        <v>214</v>
      </c>
      <c r="F2" s="5" t="s">
        <v>77</v>
      </c>
      <c r="G2" s="5" t="s">
        <v>78</v>
      </c>
      <c r="H2" s="5" t="s">
        <v>79</v>
      </c>
      <c r="I2" s="5" t="s">
        <v>80</v>
      </c>
      <c r="J2" s="5" t="s">
        <v>81</v>
      </c>
      <c r="K2" s="5" t="s">
        <v>82</v>
      </c>
      <c r="L2" s="5" t="s">
        <v>66</v>
      </c>
    </row>
    <row r="3" spans="1:12" x14ac:dyDescent="0.25">
      <c r="A3" s="4" t="str">
        <f>'2. Use Cases'!A2</f>
        <v>UC01</v>
      </c>
      <c r="B3" s="10" t="str">
        <f>VLOOKUP(DVF_Filtering[[#This Row],[ID]],'2. Use Cases'!A:B,2,FALSE)</f>
        <v>FrontLine - Partnership Banking</v>
      </c>
      <c r="C3" s="4">
        <f>'4. WSJF Scoring'!I3</f>
        <v>1</v>
      </c>
      <c r="D3" s="4">
        <f>'4. WSJF Scoring'!F3</f>
        <v>7</v>
      </c>
      <c r="E3" s="4">
        <f>'4. WSJF Scoring'!G3</f>
        <v>1</v>
      </c>
      <c r="F3" s="4" t="str">
        <f>IF(D3&gt;=30,"High",IF(D3&gt;=15,"Medium","Low"))</f>
        <v>Low</v>
      </c>
      <c r="G3" s="4" t="str">
        <f>IF(E3&gt;=13,"High",IF(E3&gt;=5,"Medium","Low"))</f>
        <v>Low</v>
      </c>
      <c r="H3" s="4" t="str">
        <f>IF(F3="High",IF(G3="Low","Quick Win","Strategic Bet"),IF(F3="Medium","Fill-in","Avoid"))</f>
        <v>Avoid</v>
      </c>
      <c r="I3" s="4">
        <f>'5. Dependencies Schedule'!G3</f>
        <v>0</v>
      </c>
      <c r="J3" s="4" t="s">
        <v>215</v>
      </c>
      <c r="K3" s="4" t="s">
        <v>215</v>
      </c>
    </row>
    <row r="4" spans="1:12" x14ac:dyDescent="0.25">
      <c r="A4" s="4" t="str">
        <f>'2. Use Cases'!A3</f>
        <v>UC02</v>
      </c>
      <c r="B4" s="11" t="str">
        <f>VLOOKUP(DVF_Filtering[[#This Row],[ID]],'2. Use Cases'!A:B,2,FALSE)</f>
        <v>Finance</v>
      </c>
      <c r="C4" s="4">
        <f>'4. WSJF Scoring'!I4</f>
        <v>1</v>
      </c>
      <c r="D4" s="4">
        <f>'4. WSJF Scoring'!F4</f>
        <v>7</v>
      </c>
      <c r="E4" s="4">
        <f>'4. WSJF Scoring'!G4</f>
        <v>1</v>
      </c>
      <c r="F4" s="4" t="str">
        <f t="shared" ref="F4:F26" si="0">IF(D4&gt;=30,"High",IF(D4&gt;=15,"Medium","Low"))</f>
        <v>Low</v>
      </c>
      <c r="G4" s="4" t="str">
        <f t="shared" ref="G4:G26" si="1">IF(E4&gt;=13,"High",IF(E4&gt;=5,"Medium","Low"))</f>
        <v>Low</v>
      </c>
      <c r="H4" s="4" t="str">
        <f t="shared" ref="H4:H26" si="2">IF(F4="High",IF(G4="Low","Quick Win","Strategic Bet"),IF(F4="Medium","Fill-in","Avoid"))</f>
        <v>Avoid</v>
      </c>
      <c r="I4" s="4">
        <f>'5. Dependencies Schedule'!G4</f>
        <v>0</v>
      </c>
      <c r="J4" s="4" t="s">
        <v>215</v>
      </c>
      <c r="K4" s="4" t="s">
        <v>215</v>
      </c>
    </row>
    <row r="5" spans="1:12" x14ac:dyDescent="0.25">
      <c r="A5" s="4" t="str">
        <f>'2. Use Cases'!A4</f>
        <v>UC03</v>
      </c>
      <c r="B5" s="10" t="str">
        <f>VLOOKUP(DVF_Filtering[[#This Row],[ID]],'2. Use Cases'!A:B,2,FALSE)</f>
        <v>Analytics and Reporting</v>
      </c>
      <c r="C5" s="4">
        <f>'4. WSJF Scoring'!I5</f>
        <v>1</v>
      </c>
      <c r="D5" s="4">
        <f>'4. WSJF Scoring'!F5</f>
        <v>7</v>
      </c>
      <c r="E5" s="4">
        <f>'4. WSJF Scoring'!G5</f>
        <v>1</v>
      </c>
      <c r="F5" s="4" t="str">
        <f t="shared" si="0"/>
        <v>Low</v>
      </c>
      <c r="G5" s="4" t="str">
        <f t="shared" si="1"/>
        <v>Low</v>
      </c>
      <c r="H5" s="4" t="str">
        <f t="shared" si="2"/>
        <v>Avoid</v>
      </c>
      <c r="I5" s="4">
        <f>'5. Dependencies Schedule'!G5</f>
        <v>0</v>
      </c>
      <c r="J5" s="4" t="s">
        <v>215</v>
      </c>
      <c r="K5" s="4" t="s">
        <v>215</v>
      </c>
    </row>
    <row r="6" spans="1:12" x14ac:dyDescent="0.25">
      <c r="A6" s="4" t="str">
        <f>'2. Use Cases'!A5</f>
        <v>UC04</v>
      </c>
      <c r="B6" s="11" t="str">
        <f>VLOOKUP(DVF_Filtering[[#This Row],[ID]],'2. Use Cases'!A:B,2,FALSE)</f>
        <v>Credit Risk</v>
      </c>
      <c r="C6" s="4">
        <f>'4. WSJF Scoring'!I6</f>
        <v>1</v>
      </c>
      <c r="D6" s="4">
        <f>'4. WSJF Scoring'!F6</f>
        <v>7</v>
      </c>
      <c r="E6" s="4">
        <f>'4. WSJF Scoring'!G6</f>
        <v>1</v>
      </c>
      <c r="F6" s="4" t="str">
        <f t="shared" si="0"/>
        <v>Low</v>
      </c>
      <c r="G6" s="4" t="str">
        <f t="shared" si="1"/>
        <v>Low</v>
      </c>
      <c r="H6" s="4" t="str">
        <f t="shared" si="2"/>
        <v>Avoid</v>
      </c>
      <c r="I6" s="4">
        <f>'5. Dependencies Schedule'!G6</f>
        <v>0</v>
      </c>
      <c r="J6" s="4" t="s">
        <v>215</v>
      </c>
      <c r="K6" s="4" t="s">
        <v>215</v>
      </c>
    </row>
    <row r="7" spans="1:12" x14ac:dyDescent="0.25">
      <c r="A7" s="4" t="str">
        <f>'2. Use Cases'!A6</f>
        <v>UC05</v>
      </c>
      <c r="B7" s="10" t="str">
        <f>VLOOKUP(DVF_Filtering[[#This Row],[ID]],'2. Use Cases'!A:B,2,FALSE)</f>
        <v>Lending Ops</v>
      </c>
      <c r="C7" s="4">
        <f>'4. WSJF Scoring'!I7</f>
        <v>1</v>
      </c>
      <c r="D7" s="4">
        <f>'4. WSJF Scoring'!F7</f>
        <v>7</v>
      </c>
      <c r="E7" s="4">
        <f>'4. WSJF Scoring'!G7</f>
        <v>1</v>
      </c>
      <c r="F7" s="4" t="str">
        <f t="shared" si="0"/>
        <v>Low</v>
      </c>
      <c r="G7" s="4" t="str">
        <f t="shared" si="1"/>
        <v>Low</v>
      </c>
      <c r="H7" s="4" t="str">
        <f t="shared" si="2"/>
        <v>Avoid</v>
      </c>
      <c r="I7" s="4">
        <f>'5. Dependencies Schedule'!G7</f>
        <v>0</v>
      </c>
      <c r="J7" s="4" t="s">
        <v>215</v>
      </c>
      <c r="K7" s="4" t="s">
        <v>215</v>
      </c>
    </row>
    <row r="8" spans="1:12" x14ac:dyDescent="0.25">
      <c r="A8" s="4" t="str">
        <f>'2. Use Cases'!A7</f>
        <v>UC06</v>
      </c>
      <c r="B8" s="11" t="str">
        <f>VLOOKUP(DVF_Filtering[[#This Row],[ID]],'2. Use Cases'!A:B,2,FALSE)</f>
        <v>HyperPersonalization</v>
      </c>
      <c r="C8" s="4">
        <f>'4. WSJF Scoring'!I8</f>
        <v>1</v>
      </c>
      <c r="D8" s="4">
        <f>'4. WSJF Scoring'!F8</f>
        <v>7</v>
      </c>
      <c r="E8" s="4">
        <f>'4. WSJF Scoring'!G8</f>
        <v>1</v>
      </c>
      <c r="F8" s="4" t="str">
        <f t="shared" si="0"/>
        <v>Low</v>
      </c>
      <c r="G8" s="4" t="str">
        <f t="shared" si="1"/>
        <v>Low</v>
      </c>
      <c r="H8" s="4" t="str">
        <f t="shared" si="2"/>
        <v>Avoid</v>
      </c>
      <c r="I8" s="4">
        <f>'5. Dependencies Schedule'!G8</f>
        <v>0</v>
      </c>
      <c r="J8" s="4" t="s">
        <v>215</v>
      </c>
      <c r="K8" s="4" t="s">
        <v>215</v>
      </c>
    </row>
    <row r="9" spans="1:12" x14ac:dyDescent="0.25">
      <c r="A9" s="4" t="str">
        <f>'2. Use Cases'!A8</f>
        <v>UC07</v>
      </c>
      <c r="B9" s="10" t="str">
        <f>VLOOKUP(DVF_Filtering[[#This Row],[ID]],'2. Use Cases'!A:B,2,FALSE)</f>
        <v>Contact Centre</v>
      </c>
      <c r="C9" s="4">
        <f>'4. WSJF Scoring'!I9</f>
        <v>1</v>
      </c>
      <c r="D9" s="4">
        <f>'4. WSJF Scoring'!F9</f>
        <v>7</v>
      </c>
      <c r="E9" s="4">
        <f>'4. WSJF Scoring'!G9</f>
        <v>1</v>
      </c>
      <c r="F9" s="4" t="str">
        <f t="shared" si="0"/>
        <v>Low</v>
      </c>
      <c r="G9" s="4" t="str">
        <f t="shared" si="1"/>
        <v>Low</v>
      </c>
      <c r="H9" s="4" t="str">
        <f t="shared" si="2"/>
        <v>Avoid</v>
      </c>
      <c r="I9" s="4">
        <f>'5. Dependencies Schedule'!G9</f>
        <v>0</v>
      </c>
      <c r="J9" s="4" t="s">
        <v>215</v>
      </c>
      <c r="K9" s="4" t="s">
        <v>215</v>
      </c>
    </row>
    <row r="10" spans="1:12" x14ac:dyDescent="0.25">
      <c r="A10" s="4" t="str">
        <f>'2. Use Cases'!A9</f>
        <v>UC08</v>
      </c>
      <c r="B10" s="11" t="str">
        <f>VLOOKUP(DVF_Filtering[[#This Row],[ID]],'2. Use Cases'!A:B,2,FALSE)</f>
        <v>Security AI</v>
      </c>
      <c r="C10" s="4">
        <f>'4. WSJF Scoring'!I10</f>
        <v>1</v>
      </c>
      <c r="D10" s="4">
        <f>'4. WSJF Scoring'!F10</f>
        <v>7</v>
      </c>
      <c r="E10" s="4">
        <f>'4. WSJF Scoring'!G10</f>
        <v>1</v>
      </c>
      <c r="F10" s="4" t="str">
        <f t="shared" si="0"/>
        <v>Low</v>
      </c>
      <c r="G10" s="4" t="str">
        <f t="shared" si="1"/>
        <v>Low</v>
      </c>
      <c r="H10" s="4" t="str">
        <f t="shared" si="2"/>
        <v>Avoid</v>
      </c>
      <c r="I10" s="4">
        <f>'5. Dependencies Schedule'!G10</f>
        <v>0</v>
      </c>
      <c r="J10" s="4" t="s">
        <v>215</v>
      </c>
      <c r="K10" s="4" t="s">
        <v>215</v>
      </c>
    </row>
    <row r="11" spans="1:12" x14ac:dyDescent="0.25">
      <c r="A11" s="4" t="str">
        <f>'2. Use Cases'!A10</f>
        <v>UC09</v>
      </c>
      <c r="B11" s="10" t="str">
        <f>VLOOKUP(DVF_Filtering[[#This Row],[ID]],'2. Use Cases'!A:B,2,FALSE)</f>
        <v>Data Products</v>
      </c>
      <c r="C11" s="4">
        <f>'4. WSJF Scoring'!I11</f>
        <v>1</v>
      </c>
      <c r="D11" s="4">
        <f>'4. WSJF Scoring'!F11</f>
        <v>7</v>
      </c>
      <c r="E11" s="4">
        <f>'4. WSJF Scoring'!G11</f>
        <v>1</v>
      </c>
      <c r="F11" s="4" t="str">
        <f t="shared" si="0"/>
        <v>Low</v>
      </c>
      <c r="G11" s="4" t="str">
        <f t="shared" si="1"/>
        <v>Low</v>
      </c>
      <c r="H11" s="4" t="str">
        <f t="shared" si="2"/>
        <v>Avoid</v>
      </c>
      <c r="I11" s="4">
        <f>'5. Dependencies Schedule'!G11</f>
        <v>0</v>
      </c>
      <c r="J11" s="4" t="s">
        <v>215</v>
      </c>
      <c r="K11" s="4" t="s">
        <v>215</v>
      </c>
    </row>
    <row r="12" spans="1:12" x14ac:dyDescent="0.25">
      <c r="A12" s="4" t="str">
        <f>'2. Use Cases'!A11</f>
        <v>UC10</v>
      </c>
      <c r="B12" s="11" t="str">
        <f>VLOOKUP(DVF_Filtering[[#This Row],[ID]],'2. Use Cases'!A:B,2,FALSE)</f>
        <v>SDLC</v>
      </c>
      <c r="C12" s="4">
        <f>'4. WSJF Scoring'!I12</f>
        <v>1</v>
      </c>
      <c r="D12" s="4">
        <f>'4. WSJF Scoring'!F12</f>
        <v>7</v>
      </c>
      <c r="E12" s="4">
        <f>'4. WSJF Scoring'!G12</f>
        <v>1</v>
      </c>
      <c r="F12" s="4" t="str">
        <f t="shared" si="0"/>
        <v>Low</v>
      </c>
      <c r="G12" s="4" t="str">
        <f t="shared" si="1"/>
        <v>Low</v>
      </c>
      <c r="H12" s="4" t="str">
        <f t="shared" si="2"/>
        <v>Avoid</v>
      </c>
      <c r="I12" s="4">
        <f>'5. Dependencies Schedule'!G12</f>
        <v>0</v>
      </c>
      <c r="J12" s="4" t="s">
        <v>215</v>
      </c>
      <c r="K12" s="4" t="s">
        <v>215</v>
      </c>
    </row>
    <row r="13" spans="1:12" x14ac:dyDescent="0.25">
      <c r="A13" s="4" t="str">
        <f>'2. Use Cases'!A12</f>
        <v>UC11</v>
      </c>
      <c r="B13" s="10" t="str">
        <f>VLOOKUP(DVF_Filtering[[#This Row],[ID]],'2. Use Cases'!A:B,2,FALSE)</f>
        <v>Fincrime</v>
      </c>
      <c r="C13" s="4">
        <f>'4. WSJF Scoring'!I13</f>
        <v>1</v>
      </c>
      <c r="D13" s="4">
        <f>'4. WSJF Scoring'!F13</f>
        <v>7</v>
      </c>
      <c r="E13" s="4">
        <f>'4. WSJF Scoring'!G13</f>
        <v>1</v>
      </c>
      <c r="F13" s="4" t="str">
        <f t="shared" si="0"/>
        <v>Low</v>
      </c>
      <c r="G13" s="4" t="str">
        <f t="shared" si="1"/>
        <v>Low</v>
      </c>
      <c r="H13" s="4" t="str">
        <f t="shared" si="2"/>
        <v>Avoid</v>
      </c>
      <c r="I13" s="4">
        <f>'5. Dependencies Schedule'!G13</f>
        <v>0</v>
      </c>
      <c r="J13" s="4" t="s">
        <v>215</v>
      </c>
      <c r="K13" s="4" t="s">
        <v>215</v>
      </c>
    </row>
    <row r="14" spans="1:12" x14ac:dyDescent="0.25">
      <c r="A14" s="4" t="str">
        <f>'2. Use Cases'!A13</f>
        <v>UC12</v>
      </c>
      <c r="B14" s="11" t="str">
        <f>VLOOKUP(DVF_Filtering[[#This Row],[ID]],'2. Use Cases'!A:B,2,FALSE)</f>
        <v>QA/QC</v>
      </c>
      <c r="C14" s="4">
        <f>'4. WSJF Scoring'!I14</f>
        <v>1</v>
      </c>
      <c r="D14" s="4">
        <f>'4. WSJF Scoring'!F14</f>
        <v>7</v>
      </c>
      <c r="E14" s="4">
        <f>'4. WSJF Scoring'!G14</f>
        <v>1</v>
      </c>
      <c r="F14" s="4" t="str">
        <f t="shared" si="0"/>
        <v>Low</v>
      </c>
      <c r="G14" s="4" t="str">
        <f t="shared" si="1"/>
        <v>Low</v>
      </c>
      <c r="H14" s="4" t="str">
        <f t="shared" si="2"/>
        <v>Avoid</v>
      </c>
      <c r="I14" s="4">
        <f>'5. Dependencies Schedule'!G14</f>
        <v>0</v>
      </c>
      <c r="J14" s="4" t="s">
        <v>215</v>
      </c>
      <c r="K14" s="4" t="s">
        <v>215</v>
      </c>
    </row>
    <row r="15" spans="1:12" x14ac:dyDescent="0.25">
      <c r="A15" s="4" t="str">
        <f>'2. Use Cases'!A14</f>
        <v>UC13</v>
      </c>
      <c r="B15" s="10" t="str">
        <f>VLOOKUP(DVF_Filtering[[#This Row],[ID]],'2. Use Cases'!A:B,2,FALSE)</f>
        <v>Fraud Ops</v>
      </c>
      <c r="C15" s="4">
        <f>'4. WSJF Scoring'!I15</f>
        <v>1</v>
      </c>
      <c r="D15" s="4">
        <f>'4. WSJF Scoring'!F15</f>
        <v>7</v>
      </c>
      <c r="E15" s="4">
        <f>'4. WSJF Scoring'!G15</f>
        <v>1</v>
      </c>
      <c r="F15" s="4" t="str">
        <f t="shared" si="0"/>
        <v>Low</v>
      </c>
      <c r="G15" s="4" t="str">
        <f t="shared" si="1"/>
        <v>Low</v>
      </c>
      <c r="H15" s="4" t="str">
        <f t="shared" si="2"/>
        <v>Avoid</v>
      </c>
      <c r="I15" s="4">
        <f>'5. Dependencies Schedule'!G15</f>
        <v>0</v>
      </c>
      <c r="J15" s="4" t="s">
        <v>215</v>
      </c>
      <c r="K15" s="4" t="s">
        <v>215</v>
      </c>
    </row>
    <row r="16" spans="1:12" x14ac:dyDescent="0.25">
      <c r="A16" s="4" t="str">
        <f>'2. Use Cases'!A15</f>
        <v>UC14</v>
      </c>
      <c r="B16" s="11" t="str">
        <f>VLOOKUP(DVF_Filtering[[#This Row],[ID]],'2. Use Cases'!A:B,2,FALSE)</f>
        <v>Onboarding</v>
      </c>
      <c r="C16" s="4">
        <f>'4. WSJF Scoring'!I16</f>
        <v>1</v>
      </c>
      <c r="D16" s="4">
        <f>'4. WSJF Scoring'!F16</f>
        <v>7</v>
      </c>
      <c r="E16" s="4">
        <f>'4. WSJF Scoring'!G16</f>
        <v>1</v>
      </c>
      <c r="F16" s="4" t="str">
        <f t="shared" si="0"/>
        <v>Low</v>
      </c>
      <c r="G16" s="4" t="str">
        <f t="shared" si="1"/>
        <v>Low</v>
      </c>
      <c r="H16" s="4" t="str">
        <f t="shared" si="2"/>
        <v>Avoid</v>
      </c>
      <c r="I16" s="4">
        <f>'5. Dependencies Schedule'!G16</f>
        <v>0</v>
      </c>
      <c r="J16" s="4" t="s">
        <v>215</v>
      </c>
      <c r="K16" s="4" t="s">
        <v>215</v>
      </c>
    </row>
    <row r="17" spans="1:11" x14ac:dyDescent="0.25">
      <c r="A17" s="4" t="str">
        <f>'2. Use Cases'!A16</f>
        <v>UC15</v>
      </c>
      <c r="B17" s="10" t="str">
        <f>VLOOKUP(DVF_Filtering[[#This Row],[ID]],'2. Use Cases'!A:B,2,FALSE)</f>
        <v>Risk Functions</v>
      </c>
      <c r="C17" s="4">
        <f>'4. WSJF Scoring'!I17</f>
        <v>1</v>
      </c>
      <c r="D17" s="4">
        <f>'4. WSJF Scoring'!F17</f>
        <v>7</v>
      </c>
      <c r="E17" s="4">
        <f>'4. WSJF Scoring'!G17</f>
        <v>1</v>
      </c>
      <c r="F17" s="4" t="str">
        <f t="shared" si="0"/>
        <v>Low</v>
      </c>
      <c r="G17" s="4" t="str">
        <f t="shared" si="1"/>
        <v>Low</v>
      </c>
      <c r="H17" s="4" t="str">
        <f t="shared" si="2"/>
        <v>Avoid</v>
      </c>
      <c r="I17" s="4">
        <f>'5. Dependencies Schedule'!G17</f>
        <v>0</v>
      </c>
      <c r="J17" s="4" t="s">
        <v>215</v>
      </c>
      <c r="K17" s="4" t="s">
        <v>215</v>
      </c>
    </row>
    <row r="18" spans="1:11" x14ac:dyDescent="0.25">
      <c r="A18" s="4" t="str">
        <f>'2. Use Cases'!A17</f>
        <v>UC16</v>
      </c>
      <c r="B18" s="11" t="str">
        <f>VLOOKUP(DVF_Filtering[[#This Row],[ID]],'2. Use Cases'!A:B,2,FALSE)</f>
        <v>IT Ops</v>
      </c>
      <c r="C18" s="4">
        <f>'4. WSJF Scoring'!I18</f>
        <v>1</v>
      </c>
      <c r="D18" s="4">
        <f>'4. WSJF Scoring'!F18</f>
        <v>7</v>
      </c>
      <c r="E18" s="4">
        <f>'4. WSJF Scoring'!G18</f>
        <v>1</v>
      </c>
      <c r="F18" s="4" t="str">
        <f t="shared" si="0"/>
        <v>Low</v>
      </c>
      <c r="G18" s="4" t="str">
        <f t="shared" si="1"/>
        <v>Low</v>
      </c>
      <c r="H18" s="4" t="str">
        <f t="shared" si="2"/>
        <v>Avoid</v>
      </c>
      <c r="I18" s="4">
        <f>'5. Dependencies Schedule'!G18</f>
        <v>0</v>
      </c>
      <c r="J18" s="4" t="s">
        <v>215</v>
      </c>
      <c r="K18" s="4" t="s">
        <v>215</v>
      </c>
    </row>
    <row r="19" spans="1:11" x14ac:dyDescent="0.25">
      <c r="A19" s="4" t="str">
        <f>'2. Use Cases'!A18</f>
        <v>UC17</v>
      </c>
      <c r="B19" s="10" t="str">
        <f>VLOOKUP(DVF_Filtering[[#This Row],[ID]],'2. Use Cases'!A:B,2,FALSE)</f>
        <v>FrontLine - CIB</v>
      </c>
      <c r="C19" s="4">
        <f>'4. WSJF Scoring'!I19</f>
        <v>1</v>
      </c>
      <c r="D19" s="4">
        <f>'4. WSJF Scoring'!F19</f>
        <v>7</v>
      </c>
      <c r="E19" s="4">
        <f>'4. WSJF Scoring'!G19</f>
        <v>1</v>
      </c>
      <c r="F19" s="4" t="str">
        <f t="shared" si="0"/>
        <v>Low</v>
      </c>
      <c r="G19" s="4" t="str">
        <f t="shared" si="1"/>
        <v>Low</v>
      </c>
      <c r="H19" s="4" t="str">
        <f t="shared" si="2"/>
        <v>Avoid</v>
      </c>
      <c r="I19" s="4">
        <f>'5. Dependencies Schedule'!G19</f>
        <v>0</v>
      </c>
      <c r="J19" s="4" t="s">
        <v>215</v>
      </c>
      <c r="K19" s="4" t="s">
        <v>215</v>
      </c>
    </row>
    <row r="20" spans="1:11" x14ac:dyDescent="0.25">
      <c r="A20" s="4" t="str">
        <f>'2. Use Cases'!A19</f>
        <v>UC18</v>
      </c>
      <c r="B20" s="11" t="str">
        <f>VLOOKUP(DVF_Filtering[[#This Row],[ID]],'2. Use Cases'!A:B,2,FALSE)</f>
        <v>Procurement</v>
      </c>
      <c r="C20" s="4">
        <f>'4. WSJF Scoring'!I20</f>
        <v>1</v>
      </c>
      <c r="D20" s="4">
        <f>'4. WSJF Scoring'!F20</f>
        <v>7</v>
      </c>
      <c r="E20" s="4">
        <f>'4. WSJF Scoring'!G20</f>
        <v>1</v>
      </c>
      <c r="F20" s="4" t="str">
        <f t="shared" si="0"/>
        <v>Low</v>
      </c>
      <c r="G20" s="4" t="str">
        <f t="shared" si="1"/>
        <v>Low</v>
      </c>
      <c r="H20" s="4" t="str">
        <f t="shared" si="2"/>
        <v>Avoid</v>
      </c>
      <c r="I20" s="4">
        <f>'5. Dependencies Schedule'!G20</f>
        <v>0</v>
      </c>
      <c r="J20" s="4" t="s">
        <v>215</v>
      </c>
      <c r="K20" s="4" t="s">
        <v>215</v>
      </c>
    </row>
    <row r="21" spans="1:11" x14ac:dyDescent="0.25">
      <c r="A21" s="4" t="str">
        <f>'2. Use Cases'!A20</f>
        <v>UC19</v>
      </c>
      <c r="B21" s="10" t="str">
        <f>VLOOKUP(DVF_Filtering[[#This Row],[ID]],'2. Use Cases'!A:B,2,FALSE)</f>
        <v>Payment Disputes</v>
      </c>
      <c r="C21" s="4">
        <f>'4. WSJF Scoring'!I21</f>
        <v>1</v>
      </c>
      <c r="D21" s="4">
        <f>'4. WSJF Scoring'!F21</f>
        <v>7</v>
      </c>
      <c r="E21" s="4">
        <f>'4. WSJF Scoring'!G21</f>
        <v>1</v>
      </c>
      <c r="F21" s="4" t="str">
        <f t="shared" si="0"/>
        <v>Low</v>
      </c>
      <c r="G21" s="4" t="str">
        <f t="shared" si="1"/>
        <v>Low</v>
      </c>
      <c r="H21" s="4" t="str">
        <f t="shared" si="2"/>
        <v>Avoid</v>
      </c>
      <c r="I21" s="4">
        <f>'5. Dependencies Schedule'!G21</f>
        <v>0</v>
      </c>
      <c r="J21" s="4" t="s">
        <v>215</v>
      </c>
      <c r="K21" s="4" t="s">
        <v>215</v>
      </c>
    </row>
    <row r="22" spans="1:11" x14ac:dyDescent="0.25">
      <c r="A22" s="4" t="str">
        <f>'2. Use Cases'!A21</f>
        <v>UC20</v>
      </c>
      <c r="B22" s="11" t="str">
        <f>VLOOKUP(DVF_Filtering[[#This Row],[ID]],'2. Use Cases'!A:B,2,FALSE)</f>
        <v>Controls Testing</v>
      </c>
      <c r="C22" s="4">
        <f>'4. WSJF Scoring'!I22</f>
        <v>1</v>
      </c>
      <c r="D22" s="4">
        <f>'4. WSJF Scoring'!F22</f>
        <v>7</v>
      </c>
      <c r="E22" s="4">
        <f>'4. WSJF Scoring'!G22</f>
        <v>1</v>
      </c>
      <c r="F22" s="4" t="str">
        <f t="shared" si="0"/>
        <v>Low</v>
      </c>
      <c r="G22" s="4" t="str">
        <f t="shared" si="1"/>
        <v>Low</v>
      </c>
      <c r="H22" s="4" t="str">
        <f t="shared" si="2"/>
        <v>Avoid</v>
      </c>
      <c r="I22" s="4">
        <f>'5. Dependencies Schedule'!G22</f>
        <v>0</v>
      </c>
      <c r="J22" s="4" t="s">
        <v>215</v>
      </c>
      <c r="K22" s="4" t="s">
        <v>215</v>
      </c>
    </row>
    <row r="23" spans="1:11" x14ac:dyDescent="0.25">
      <c r="A23" s="4" t="str">
        <f>'2. Use Cases'!A22</f>
        <v>UC21</v>
      </c>
      <c r="B23" s="10" t="str">
        <f>VLOOKUP(DVF_Filtering[[#This Row],[ID]],'2. Use Cases'!A:B,2,FALSE)</f>
        <v>Wholesale Underwriting</v>
      </c>
      <c r="C23" s="4">
        <f>'4. WSJF Scoring'!I23</f>
        <v>1</v>
      </c>
      <c r="D23" s="4">
        <f>'4. WSJF Scoring'!F23</f>
        <v>7</v>
      </c>
      <c r="E23" s="4">
        <f>'4. WSJF Scoring'!G23</f>
        <v>1</v>
      </c>
      <c r="F23" s="4" t="str">
        <f t="shared" si="0"/>
        <v>Low</v>
      </c>
      <c r="G23" s="4" t="str">
        <f t="shared" si="1"/>
        <v>Low</v>
      </c>
      <c r="H23" s="4" t="str">
        <f t="shared" si="2"/>
        <v>Avoid</v>
      </c>
      <c r="I23" s="4">
        <f>'5. Dependencies Schedule'!G23</f>
        <v>0</v>
      </c>
      <c r="J23" s="4" t="s">
        <v>215</v>
      </c>
      <c r="K23" s="4" t="s">
        <v>215</v>
      </c>
    </row>
    <row r="24" spans="1:11" x14ac:dyDescent="0.25">
      <c r="A24" s="4" t="str">
        <f>'2. Use Cases'!A23</f>
        <v>UC22</v>
      </c>
      <c r="B24" s="11" t="str">
        <f>VLOOKUP(DVF_Filtering[[#This Row],[ID]],'2. Use Cases'!A:B,2,FALSE)</f>
        <v>Learning Content</v>
      </c>
      <c r="C24" s="4">
        <f>'4. WSJF Scoring'!I24</f>
        <v>1</v>
      </c>
      <c r="D24" s="4">
        <f>'4. WSJF Scoring'!F24</f>
        <v>7</v>
      </c>
      <c r="E24" s="4">
        <f>'4. WSJF Scoring'!G24</f>
        <v>1</v>
      </c>
      <c r="F24" s="4" t="str">
        <f t="shared" si="0"/>
        <v>Low</v>
      </c>
      <c r="G24" s="4" t="str">
        <f t="shared" si="1"/>
        <v>Low</v>
      </c>
      <c r="H24" s="4" t="str">
        <f t="shared" si="2"/>
        <v>Avoid</v>
      </c>
      <c r="I24" s="4">
        <f>'5. Dependencies Schedule'!G24</f>
        <v>0</v>
      </c>
      <c r="J24" s="4" t="s">
        <v>215</v>
      </c>
      <c r="K24" s="4" t="s">
        <v>215</v>
      </c>
    </row>
    <row r="25" spans="1:11" x14ac:dyDescent="0.25">
      <c r="A25" s="4" t="str">
        <f>'2. Use Cases'!A24</f>
        <v>UC23</v>
      </c>
      <c r="B25" s="10" t="str">
        <f>VLOOKUP(DVF_Filtering[[#This Row],[ID]],'2. Use Cases'!A:B,2,FALSE)</f>
        <v>Collection Management</v>
      </c>
      <c r="C25" s="4">
        <f>'4. WSJF Scoring'!I25</f>
        <v>1</v>
      </c>
      <c r="D25" s="4">
        <f>'4. WSJF Scoring'!F25</f>
        <v>7</v>
      </c>
      <c r="E25" s="4">
        <f>'4. WSJF Scoring'!G25</f>
        <v>1</v>
      </c>
      <c r="F25" s="4" t="str">
        <f t="shared" si="0"/>
        <v>Low</v>
      </c>
      <c r="G25" s="4" t="str">
        <f t="shared" si="1"/>
        <v>Low</v>
      </c>
      <c r="H25" s="4" t="str">
        <f t="shared" si="2"/>
        <v>Avoid</v>
      </c>
      <c r="I25" s="4">
        <f>'5. Dependencies Schedule'!G25</f>
        <v>0</v>
      </c>
      <c r="J25" s="4" t="s">
        <v>215</v>
      </c>
      <c r="K25" s="4" t="s">
        <v>215</v>
      </c>
    </row>
    <row r="26" spans="1:11" x14ac:dyDescent="0.25">
      <c r="A26" s="4" t="str">
        <f>'2. Use Cases'!A25</f>
        <v>UC24</v>
      </c>
      <c r="B26" s="11" t="str">
        <f>VLOOKUP(DVF_Filtering[[#This Row],[ID]],'2. Use Cases'!A:B,2,FALSE)</f>
        <v>Front-end App Personalisation</v>
      </c>
      <c r="C26" s="4">
        <f>'4. WSJF Scoring'!I26</f>
        <v>1</v>
      </c>
      <c r="D26" s="4">
        <f>'4. WSJF Scoring'!F26</f>
        <v>7</v>
      </c>
      <c r="E26" s="4">
        <f>'4. WSJF Scoring'!G26</f>
        <v>1</v>
      </c>
      <c r="F26" s="4" t="str">
        <f t="shared" si="0"/>
        <v>Low</v>
      </c>
      <c r="G26" s="4" t="str">
        <f t="shared" si="1"/>
        <v>Low</v>
      </c>
      <c r="H26" s="4" t="str">
        <f t="shared" si="2"/>
        <v>Avoid</v>
      </c>
      <c r="I26" s="4">
        <f>'5. Dependencies Schedule'!G26</f>
        <v>0</v>
      </c>
      <c r="J26" s="4" t="s">
        <v>215</v>
      </c>
      <c r="K26" s="4" t="s">
        <v>215</v>
      </c>
    </row>
  </sheetData>
  <mergeCells count="1">
    <mergeCell ref="A1:L1"/>
  </mergeCells>
  <conditionalFormatting sqref="H2:H26">
    <cfRule type="cellIs" dxfId="11" priority="1" operator="equal">
      <formula>"Quick Win"</formula>
    </cfRule>
    <cfRule type="cellIs" dxfId="10" priority="2" operator="equal">
      <formula>"Strategic Bet"</formula>
    </cfRule>
    <cfRule type="cellIs" dxfId="9" priority="3" operator="equal">
      <formula>"Fill-in"</formula>
    </cfRule>
    <cfRule type="cellIs" dxfId="8" priority="4" operator="equal">
      <formula>"Avoid"</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7EBA-361D-4DAD-B285-B07E8E341E17}">
  <dimension ref="A1:L25"/>
  <sheetViews>
    <sheetView showGridLines="0" tabSelected="1" workbookViewId="0">
      <selection activeCell="F3" sqref="F3"/>
    </sheetView>
  </sheetViews>
  <sheetFormatPr defaultRowHeight="15" x14ac:dyDescent="0.25"/>
  <cols>
    <col min="1" max="1" width="9.140625" style="8"/>
    <col min="2" max="2" width="33.7109375" style="8" customWidth="1"/>
    <col min="3" max="3" width="31.5703125" style="8" customWidth="1"/>
    <col min="4" max="4" width="22.42578125" style="8" customWidth="1"/>
    <col min="5" max="5" width="19.85546875" style="8" customWidth="1"/>
    <col min="6" max="6" width="42" style="13" customWidth="1"/>
    <col min="7" max="12" width="9.140625" style="13"/>
  </cols>
  <sheetData>
    <row r="1" spans="1:6" x14ac:dyDescent="0.25">
      <c r="A1" s="28" t="s">
        <v>0</v>
      </c>
      <c r="B1" s="28" t="s">
        <v>1</v>
      </c>
      <c r="C1" s="29" t="s">
        <v>5</v>
      </c>
      <c r="D1" s="30" t="s">
        <v>3</v>
      </c>
      <c r="E1" s="30" t="s">
        <v>4</v>
      </c>
      <c r="F1" s="30" t="s">
        <v>358</v>
      </c>
    </row>
    <row r="2" spans="1:6" ht="127.5" x14ac:dyDescent="0.25">
      <c r="A2" s="9" t="s">
        <v>186</v>
      </c>
      <c r="B2" s="27" t="str">
        <f>VLOOKUP(A2,'2. Use Cases'!A:B,2,FALSE)</f>
        <v>FrontLine - Partnership Banking</v>
      </c>
      <c r="C2" s="24" t="s">
        <v>9</v>
      </c>
      <c r="D2" s="8" t="s">
        <v>7</v>
      </c>
      <c r="E2" s="8" t="s">
        <v>8</v>
      </c>
      <c r="F2" s="8" t="s">
        <v>334</v>
      </c>
    </row>
    <row r="3" spans="1:6" ht="127.5" x14ac:dyDescent="0.25">
      <c r="A3" s="9" t="s">
        <v>187</v>
      </c>
      <c r="B3" s="27" t="str">
        <f>VLOOKUP(A3,'2. Use Cases'!A:B,2,FALSE)</f>
        <v>Finance</v>
      </c>
      <c r="C3" s="24" t="s">
        <v>13</v>
      </c>
      <c r="D3" s="8" t="s">
        <v>11</v>
      </c>
      <c r="E3" s="8" t="s">
        <v>12</v>
      </c>
      <c r="F3" s="8" t="s">
        <v>335</v>
      </c>
    </row>
    <row r="4" spans="1:6" ht="140.25" x14ac:dyDescent="0.25">
      <c r="A4" s="9" t="s">
        <v>188</v>
      </c>
      <c r="B4" s="27" t="str">
        <f>VLOOKUP(A4,'2. Use Cases'!A:B,2,FALSE)</f>
        <v>Analytics and Reporting</v>
      </c>
      <c r="C4" s="24" t="s">
        <v>13</v>
      </c>
      <c r="D4" s="8" t="s">
        <v>15</v>
      </c>
      <c r="E4" s="8" t="s">
        <v>16</v>
      </c>
      <c r="F4" s="8" t="s">
        <v>336</v>
      </c>
    </row>
    <row r="5" spans="1:6" ht="127.5" x14ac:dyDescent="0.25">
      <c r="A5" s="9" t="s">
        <v>189</v>
      </c>
      <c r="B5" s="27" t="str">
        <f>VLOOKUP(A5,'2. Use Cases'!A:B,2,FALSE)</f>
        <v>Credit Risk</v>
      </c>
      <c r="C5" s="24" t="s">
        <v>20</v>
      </c>
      <c r="D5" s="8" t="s">
        <v>18</v>
      </c>
      <c r="E5" s="8" t="s">
        <v>19</v>
      </c>
      <c r="F5" s="8" t="s">
        <v>337</v>
      </c>
    </row>
    <row r="6" spans="1:6" ht="127.5" x14ac:dyDescent="0.25">
      <c r="A6" s="9" t="s">
        <v>190</v>
      </c>
      <c r="B6" s="27" t="str">
        <f>VLOOKUP(A6,'2. Use Cases'!A:B,2,FALSE)</f>
        <v>Lending Ops</v>
      </c>
      <c r="C6" s="24" t="s">
        <v>23</v>
      </c>
      <c r="D6" s="8" t="s">
        <v>22</v>
      </c>
      <c r="E6" s="8" t="s">
        <v>12</v>
      </c>
      <c r="F6" s="8" t="s">
        <v>338</v>
      </c>
    </row>
    <row r="7" spans="1:6" ht="153" x14ac:dyDescent="0.25">
      <c r="A7" s="9" t="s">
        <v>191</v>
      </c>
      <c r="B7" s="27" t="str">
        <f>VLOOKUP(A7,'2. Use Cases'!A:B,2,FALSE)</f>
        <v>HyperPersonalization</v>
      </c>
      <c r="C7" s="24" t="s">
        <v>13</v>
      </c>
      <c r="D7" s="8" t="s">
        <v>25</v>
      </c>
      <c r="E7" s="8" t="s">
        <v>8</v>
      </c>
      <c r="F7" s="8" t="s">
        <v>339</v>
      </c>
    </row>
    <row r="8" spans="1:6" ht="153" x14ac:dyDescent="0.25">
      <c r="A8" s="9" t="s">
        <v>192</v>
      </c>
      <c r="B8" s="27" t="str">
        <f>VLOOKUP(A8,'2. Use Cases'!A:B,2,FALSE)</f>
        <v>Contact Centre</v>
      </c>
      <c r="C8" s="24" t="s">
        <v>9</v>
      </c>
      <c r="D8" s="8" t="s">
        <v>27</v>
      </c>
      <c r="E8" s="8" t="s">
        <v>8</v>
      </c>
      <c r="F8" s="8" t="s">
        <v>340</v>
      </c>
    </row>
    <row r="9" spans="1:6" ht="153" x14ac:dyDescent="0.25">
      <c r="A9" s="9" t="s">
        <v>193</v>
      </c>
      <c r="B9" s="27" t="str">
        <f>VLOOKUP(A9,'2. Use Cases'!A:B,2,FALSE)</f>
        <v>Security AI</v>
      </c>
      <c r="C9" s="24" t="s">
        <v>20</v>
      </c>
      <c r="D9" s="8" t="s">
        <v>29</v>
      </c>
      <c r="E9" s="8" t="s">
        <v>19</v>
      </c>
      <c r="F9" s="8" t="s">
        <v>341</v>
      </c>
    </row>
    <row r="10" spans="1:6" ht="153" x14ac:dyDescent="0.25">
      <c r="A10" s="9" t="s">
        <v>194</v>
      </c>
      <c r="B10" s="27" t="str">
        <f>VLOOKUP(A10,'2. Use Cases'!A:B,2,FALSE)</f>
        <v>Data Products</v>
      </c>
      <c r="C10" s="24" t="s">
        <v>13</v>
      </c>
      <c r="D10" s="8" t="s">
        <v>15</v>
      </c>
      <c r="E10" s="8" t="s">
        <v>16</v>
      </c>
      <c r="F10" s="8" t="s">
        <v>342</v>
      </c>
    </row>
    <row r="11" spans="1:6" ht="165.75" x14ac:dyDescent="0.25">
      <c r="A11" s="9" t="s">
        <v>195</v>
      </c>
      <c r="B11" s="27" t="str">
        <f>VLOOKUP(A11,'2. Use Cases'!A:B,2,FALSE)</f>
        <v>SDLC</v>
      </c>
      <c r="C11" s="24" t="s">
        <v>33</v>
      </c>
      <c r="D11" s="8" t="s">
        <v>32</v>
      </c>
      <c r="E11" s="8" t="s">
        <v>12</v>
      </c>
      <c r="F11" s="8" t="s">
        <v>343</v>
      </c>
    </row>
    <row r="12" spans="1:6" ht="191.25" x14ac:dyDescent="0.25">
      <c r="A12" s="9" t="s">
        <v>196</v>
      </c>
      <c r="B12" s="27" t="str">
        <f>VLOOKUP(A12,'2. Use Cases'!A:B,2,FALSE)</f>
        <v>Fincrime</v>
      </c>
      <c r="C12" s="24" t="s">
        <v>20</v>
      </c>
      <c r="D12" s="8" t="s">
        <v>35</v>
      </c>
      <c r="E12" s="8" t="s">
        <v>19</v>
      </c>
      <c r="F12" s="8" t="s">
        <v>344</v>
      </c>
    </row>
    <row r="13" spans="1:6" ht="140.25" x14ac:dyDescent="0.25">
      <c r="A13" s="9" t="s">
        <v>197</v>
      </c>
      <c r="B13" s="27" t="str">
        <f>VLOOKUP(A13,'2. Use Cases'!A:B,2,FALSE)</f>
        <v>QA/QC</v>
      </c>
      <c r="C13" s="24" t="s">
        <v>20</v>
      </c>
      <c r="D13" s="8" t="s">
        <v>37</v>
      </c>
      <c r="E13" s="8" t="s">
        <v>12</v>
      </c>
      <c r="F13" s="8" t="s">
        <v>345</v>
      </c>
    </row>
    <row r="14" spans="1:6" ht="140.25" x14ac:dyDescent="0.25">
      <c r="A14" s="9" t="s">
        <v>198</v>
      </c>
      <c r="B14" s="27" t="str">
        <f>VLOOKUP(A14,'2. Use Cases'!A:B,2,FALSE)</f>
        <v>Fraud Ops</v>
      </c>
      <c r="C14" s="24" t="s">
        <v>20</v>
      </c>
      <c r="D14" s="8" t="s">
        <v>39</v>
      </c>
      <c r="E14" s="8" t="s">
        <v>19</v>
      </c>
      <c r="F14" s="8" t="s">
        <v>346</v>
      </c>
    </row>
    <row r="15" spans="1:6" ht="165.75" x14ac:dyDescent="0.25">
      <c r="A15" s="9" t="s">
        <v>199</v>
      </c>
      <c r="B15" s="27" t="str">
        <f>VLOOKUP(A15,'2. Use Cases'!A:B,2,FALSE)</f>
        <v>Onboarding</v>
      </c>
      <c r="C15" s="24" t="s">
        <v>23</v>
      </c>
      <c r="D15" s="8" t="s">
        <v>41</v>
      </c>
      <c r="E15" s="8" t="s">
        <v>8</v>
      </c>
      <c r="F15" s="8" t="s">
        <v>347</v>
      </c>
    </row>
    <row r="16" spans="1:6" ht="178.5" x14ac:dyDescent="0.25">
      <c r="A16" s="9" t="s">
        <v>200</v>
      </c>
      <c r="B16" s="27" t="str">
        <f>VLOOKUP(A16,'2. Use Cases'!A:B,2,FALSE)</f>
        <v>Risk Functions</v>
      </c>
      <c r="C16" s="24" t="s">
        <v>20</v>
      </c>
      <c r="D16" s="8" t="s">
        <v>18</v>
      </c>
      <c r="E16" s="8" t="s">
        <v>19</v>
      </c>
      <c r="F16" s="8" t="s">
        <v>348</v>
      </c>
    </row>
    <row r="17" spans="1:6" ht="153" x14ac:dyDescent="0.25">
      <c r="A17" s="9" t="s">
        <v>201</v>
      </c>
      <c r="B17" s="27" t="str">
        <f>VLOOKUP(A17,'2. Use Cases'!A:B,2,FALSE)</f>
        <v>IT Ops</v>
      </c>
      <c r="C17" s="24" t="s">
        <v>45</v>
      </c>
      <c r="D17" s="8" t="s">
        <v>44</v>
      </c>
      <c r="E17" s="8" t="s">
        <v>12</v>
      </c>
      <c r="F17" s="8" t="s">
        <v>349</v>
      </c>
    </row>
    <row r="18" spans="1:6" ht="178.5" x14ac:dyDescent="0.25">
      <c r="A18" s="9" t="s">
        <v>202</v>
      </c>
      <c r="B18" s="27" t="str">
        <f>VLOOKUP(A18,'2. Use Cases'!A:B,2,FALSE)</f>
        <v>FrontLine - CIB</v>
      </c>
      <c r="C18" s="24" t="s">
        <v>13</v>
      </c>
      <c r="D18" s="8" t="s">
        <v>7</v>
      </c>
      <c r="E18" s="8" t="s">
        <v>8</v>
      </c>
      <c r="F18" s="8" t="s">
        <v>350</v>
      </c>
    </row>
    <row r="19" spans="1:6" ht="153" x14ac:dyDescent="0.25">
      <c r="A19" s="9" t="s">
        <v>203</v>
      </c>
      <c r="B19" s="27" t="str">
        <f>VLOOKUP(A19,'2. Use Cases'!A:B,2,FALSE)</f>
        <v>Procurement</v>
      </c>
      <c r="C19" s="24" t="s">
        <v>49</v>
      </c>
      <c r="D19" s="8" t="s">
        <v>48</v>
      </c>
      <c r="E19" s="8" t="s">
        <v>12</v>
      </c>
      <c r="F19" s="8" t="s">
        <v>351</v>
      </c>
    </row>
    <row r="20" spans="1:6" ht="165.75" x14ac:dyDescent="0.25">
      <c r="A20" s="9" t="s">
        <v>204</v>
      </c>
      <c r="B20" s="27" t="str">
        <f>VLOOKUP(A20,'2. Use Cases'!A:B,2,FALSE)</f>
        <v>Payment Disputes</v>
      </c>
      <c r="C20" s="24" t="s">
        <v>20</v>
      </c>
      <c r="D20" s="8" t="s">
        <v>51</v>
      </c>
      <c r="E20" s="8" t="s">
        <v>8</v>
      </c>
      <c r="F20" s="8" t="s">
        <v>352</v>
      </c>
    </row>
    <row r="21" spans="1:6" ht="178.5" x14ac:dyDescent="0.25">
      <c r="A21" s="9" t="s">
        <v>205</v>
      </c>
      <c r="B21" s="27" t="str">
        <f>VLOOKUP(A21,'2. Use Cases'!A:B,2,FALSE)</f>
        <v>Controls Testing</v>
      </c>
      <c r="C21" s="24" t="s">
        <v>20</v>
      </c>
      <c r="D21" s="8" t="s">
        <v>53</v>
      </c>
      <c r="E21" s="8" t="s">
        <v>19</v>
      </c>
      <c r="F21" s="8" t="s">
        <v>353</v>
      </c>
    </row>
    <row r="22" spans="1:6" ht="178.5" x14ac:dyDescent="0.25">
      <c r="A22" s="9" t="s">
        <v>206</v>
      </c>
      <c r="B22" s="27" t="str">
        <f>VLOOKUP(A22,'2. Use Cases'!A:B,2,FALSE)</f>
        <v>Wholesale Underwriting</v>
      </c>
      <c r="C22" s="24" t="s">
        <v>20</v>
      </c>
      <c r="D22" s="8" t="s">
        <v>22</v>
      </c>
      <c r="E22" s="8" t="s">
        <v>12</v>
      </c>
      <c r="F22" s="8" t="s">
        <v>354</v>
      </c>
    </row>
    <row r="23" spans="1:6" ht="165.75" x14ac:dyDescent="0.25">
      <c r="A23" s="9" t="s">
        <v>207</v>
      </c>
      <c r="B23" s="27" t="str">
        <f>VLOOKUP(A23,'2. Use Cases'!A:B,2,FALSE)</f>
        <v>Learning Content</v>
      </c>
      <c r="C23" s="24" t="s">
        <v>13</v>
      </c>
      <c r="D23" s="8" t="s">
        <v>56</v>
      </c>
      <c r="E23" s="8" t="s">
        <v>12</v>
      </c>
      <c r="F23" s="8" t="s">
        <v>355</v>
      </c>
    </row>
    <row r="24" spans="1:6" ht="165.75" x14ac:dyDescent="0.25">
      <c r="A24" s="9" t="s">
        <v>208</v>
      </c>
      <c r="B24" s="27" t="str">
        <f>VLOOKUP(A24,'2. Use Cases'!A:B,2,FALSE)</f>
        <v>Collection Management</v>
      </c>
      <c r="C24" s="24" t="s">
        <v>20</v>
      </c>
      <c r="D24" s="8" t="s">
        <v>58</v>
      </c>
      <c r="E24" s="8" t="s">
        <v>12</v>
      </c>
      <c r="F24" s="8" t="s">
        <v>356</v>
      </c>
    </row>
    <row r="25" spans="1:6" ht="178.5" x14ac:dyDescent="0.25">
      <c r="A25" s="9" t="s">
        <v>209</v>
      </c>
      <c r="B25" s="27" t="str">
        <f>VLOOKUP(A25,'2. Use Cases'!A:B,2,FALSE)</f>
        <v>Front-end App Personalisation</v>
      </c>
      <c r="C25" s="25" t="s">
        <v>13</v>
      </c>
      <c r="D25" s="8" t="s">
        <v>25</v>
      </c>
      <c r="E25" s="8" t="s">
        <v>8</v>
      </c>
      <c r="F25" s="8" t="s">
        <v>357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8"/>
  <sheetViews>
    <sheetView topLeftCell="A35" workbookViewId="0">
      <selection activeCell="A54" sqref="A54"/>
    </sheetView>
  </sheetViews>
  <sheetFormatPr defaultRowHeight="15" x14ac:dyDescent="0.25"/>
  <cols>
    <col min="1" max="1" width="16.5703125" style="19" customWidth="1"/>
    <col min="2" max="2" width="25" style="19" customWidth="1"/>
    <col min="3" max="3" width="10" style="26" customWidth="1"/>
    <col min="4" max="4" width="50" style="19" customWidth="1"/>
    <col min="5" max="5" width="40" style="19" customWidth="1"/>
    <col min="6" max="6" width="30" style="19" customWidth="1"/>
    <col min="7" max="8" width="9.140625" style="19"/>
  </cols>
  <sheetData>
    <row r="1" spans="1:9" ht="18.75" x14ac:dyDescent="0.25">
      <c r="A1" s="21" t="s">
        <v>218</v>
      </c>
      <c r="B1" s="21"/>
    </row>
    <row r="2" spans="1:9" x14ac:dyDescent="0.25">
      <c r="A2" s="20"/>
      <c r="B2" s="20"/>
      <c r="C2" s="20"/>
      <c r="D2" s="20"/>
      <c r="E2" s="20"/>
    </row>
    <row r="3" spans="1:9" x14ac:dyDescent="0.25">
      <c r="A3" s="19" t="s">
        <v>220</v>
      </c>
      <c r="B3" s="19" t="s">
        <v>270</v>
      </c>
      <c r="C3" s="26" t="s">
        <v>83</v>
      </c>
      <c r="D3" s="19" t="s">
        <v>84</v>
      </c>
      <c r="E3" s="19" t="s">
        <v>85</v>
      </c>
      <c r="I3" s="19"/>
    </row>
    <row r="5" spans="1:9" ht="30" x14ac:dyDescent="0.25">
      <c r="A5" s="19" t="s">
        <v>210</v>
      </c>
      <c r="B5" s="19" t="s">
        <v>276</v>
      </c>
      <c r="C5" s="26" t="s">
        <v>86</v>
      </c>
      <c r="D5" s="19" t="s">
        <v>87</v>
      </c>
      <c r="E5" s="19" t="s">
        <v>88</v>
      </c>
    </row>
    <row r="6" spans="1:9" ht="30" x14ac:dyDescent="0.25">
      <c r="B6" s="19" t="s">
        <v>277</v>
      </c>
      <c r="C6" s="26" t="s">
        <v>89</v>
      </c>
      <c r="D6" s="19" t="s">
        <v>90</v>
      </c>
      <c r="E6" s="19" t="s">
        <v>91</v>
      </c>
    </row>
    <row r="7" spans="1:9" x14ac:dyDescent="0.25">
      <c r="B7" s="19" t="s">
        <v>275</v>
      </c>
      <c r="C7" s="26" t="s">
        <v>92</v>
      </c>
      <c r="D7" s="19" t="s">
        <v>93</v>
      </c>
      <c r="E7" s="19" t="s">
        <v>94</v>
      </c>
    </row>
    <row r="8" spans="1:9" x14ac:dyDescent="0.25">
      <c r="B8" s="19" t="s">
        <v>274</v>
      </c>
      <c r="C8" s="26" t="s">
        <v>95</v>
      </c>
      <c r="D8" s="19" t="s">
        <v>96</v>
      </c>
      <c r="E8" s="19" t="s">
        <v>97</v>
      </c>
    </row>
    <row r="9" spans="1:9" x14ac:dyDescent="0.25">
      <c r="B9" s="19" t="s">
        <v>273</v>
      </c>
      <c r="C9" s="26" t="s">
        <v>98</v>
      </c>
      <c r="D9" s="19" t="s">
        <v>99</v>
      </c>
      <c r="E9" s="19" t="s">
        <v>100</v>
      </c>
    </row>
    <row r="10" spans="1:9" x14ac:dyDescent="0.25">
      <c r="B10" s="19" t="s">
        <v>272</v>
      </c>
      <c r="C10" s="26" t="s">
        <v>101</v>
      </c>
      <c r="D10" s="19" t="s">
        <v>102</v>
      </c>
      <c r="E10" s="19" t="s">
        <v>103</v>
      </c>
    </row>
    <row r="11" spans="1:9" x14ac:dyDescent="0.25">
      <c r="B11" s="19" t="s">
        <v>271</v>
      </c>
      <c r="C11" s="26" t="s">
        <v>104</v>
      </c>
      <c r="D11" s="19" t="s">
        <v>105</v>
      </c>
      <c r="E11" s="19" t="s">
        <v>106</v>
      </c>
    </row>
    <row r="13" spans="1:9" ht="30" x14ac:dyDescent="0.25">
      <c r="A13" s="19" t="s">
        <v>67</v>
      </c>
      <c r="B13" s="19" t="s">
        <v>278</v>
      </c>
      <c r="C13" s="26" t="s">
        <v>86</v>
      </c>
      <c r="D13" s="19" t="s">
        <v>107</v>
      </c>
      <c r="E13" s="19" t="s">
        <v>108</v>
      </c>
    </row>
    <row r="14" spans="1:9" ht="30" x14ac:dyDescent="0.25">
      <c r="B14" s="19" t="s">
        <v>280</v>
      </c>
      <c r="C14" s="26" t="s">
        <v>89</v>
      </c>
      <c r="D14" s="19" t="s">
        <v>109</v>
      </c>
      <c r="E14" s="19" t="s">
        <v>110</v>
      </c>
    </row>
    <row r="15" spans="1:9" ht="30" x14ac:dyDescent="0.25">
      <c r="B15" s="19" t="s">
        <v>279</v>
      </c>
      <c r="C15" s="26" t="s">
        <v>92</v>
      </c>
      <c r="D15" s="19" t="s">
        <v>111</v>
      </c>
      <c r="E15" s="19" t="s">
        <v>112</v>
      </c>
    </row>
    <row r="16" spans="1:9" x14ac:dyDescent="0.25">
      <c r="B16" s="19" t="s">
        <v>281</v>
      </c>
      <c r="C16" s="26" t="s">
        <v>95</v>
      </c>
      <c r="D16" s="19" t="s">
        <v>113</v>
      </c>
      <c r="E16" s="19" t="s">
        <v>114</v>
      </c>
    </row>
    <row r="17" spans="1:5" x14ac:dyDescent="0.25">
      <c r="B17" s="19" t="s">
        <v>282</v>
      </c>
      <c r="C17" s="26" t="s">
        <v>98</v>
      </c>
      <c r="D17" s="19" t="s">
        <v>115</v>
      </c>
      <c r="E17" s="19" t="s">
        <v>116</v>
      </c>
    </row>
    <row r="18" spans="1:5" x14ac:dyDescent="0.25">
      <c r="B18" s="19" t="s">
        <v>272</v>
      </c>
      <c r="C18" s="26" t="s">
        <v>101</v>
      </c>
      <c r="D18" s="19" t="s">
        <v>117</v>
      </c>
      <c r="E18" s="19" t="s">
        <v>118</v>
      </c>
    </row>
    <row r="19" spans="1:5" x14ac:dyDescent="0.25">
      <c r="B19" s="19" t="s">
        <v>271</v>
      </c>
      <c r="C19" s="26" t="s">
        <v>104</v>
      </c>
      <c r="D19" s="19" t="s">
        <v>119</v>
      </c>
      <c r="E19" s="19" t="s">
        <v>120</v>
      </c>
    </row>
    <row r="21" spans="1:5" ht="45" x14ac:dyDescent="0.25">
      <c r="A21" s="19" t="s">
        <v>217</v>
      </c>
      <c r="B21" s="19" t="s">
        <v>276</v>
      </c>
      <c r="C21" s="26" t="s">
        <v>86</v>
      </c>
      <c r="D21" s="19" t="s">
        <v>121</v>
      </c>
      <c r="E21" s="19" t="s">
        <v>122</v>
      </c>
    </row>
    <row r="22" spans="1:5" ht="30" x14ac:dyDescent="0.25">
      <c r="B22" s="19" t="s">
        <v>277</v>
      </c>
      <c r="C22" s="26" t="s">
        <v>89</v>
      </c>
      <c r="D22" s="19" t="s">
        <v>123</v>
      </c>
      <c r="E22" s="19" t="s">
        <v>124</v>
      </c>
    </row>
    <row r="23" spans="1:5" x14ac:dyDescent="0.25">
      <c r="B23" s="19" t="s">
        <v>275</v>
      </c>
      <c r="C23" s="26" t="s">
        <v>92</v>
      </c>
      <c r="D23" s="19" t="s">
        <v>125</v>
      </c>
      <c r="E23" s="19" t="s">
        <v>126</v>
      </c>
    </row>
    <row r="24" spans="1:5" x14ac:dyDescent="0.25">
      <c r="B24" s="19" t="s">
        <v>274</v>
      </c>
      <c r="C24" s="26" t="s">
        <v>95</v>
      </c>
      <c r="D24" s="19" t="s">
        <v>127</v>
      </c>
      <c r="E24" s="19" t="s">
        <v>128</v>
      </c>
    </row>
    <row r="25" spans="1:5" x14ac:dyDescent="0.25">
      <c r="B25" s="19" t="s">
        <v>273</v>
      </c>
      <c r="C25" s="26" t="s">
        <v>98</v>
      </c>
      <c r="D25" s="19" t="s">
        <v>129</v>
      </c>
      <c r="E25" s="19" t="s">
        <v>130</v>
      </c>
    </row>
    <row r="26" spans="1:5" x14ac:dyDescent="0.25">
      <c r="B26" s="19" t="s">
        <v>272</v>
      </c>
      <c r="C26" s="26" t="s">
        <v>101</v>
      </c>
      <c r="D26" s="19" t="s">
        <v>131</v>
      </c>
      <c r="E26" s="19" t="s">
        <v>132</v>
      </c>
    </row>
    <row r="27" spans="1:5" x14ac:dyDescent="0.25">
      <c r="B27" s="19" t="s">
        <v>271</v>
      </c>
      <c r="C27" s="26" t="s">
        <v>104</v>
      </c>
      <c r="D27" s="19" t="s">
        <v>133</v>
      </c>
      <c r="E27" s="19" t="s">
        <v>134</v>
      </c>
    </row>
    <row r="29" spans="1:5" x14ac:dyDescent="0.25">
      <c r="A29" s="19" t="s">
        <v>212</v>
      </c>
      <c r="B29" s="19" t="s">
        <v>276</v>
      </c>
      <c r="C29" s="26" t="s">
        <v>86</v>
      </c>
      <c r="D29" s="19" t="s">
        <v>135</v>
      </c>
      <c r="E29" s="19" t="s">
        <v>136</v>
      </c>
    </row>
    <row r="30" spans="1:5" x14ac:dyDescent="0.25">
      <c r="B30" s="19" t="s">
        <v>277</v>
      </c>
      <c r="C30" s="26" t="s">
        <v>89</v>
      </c>
      <c r="D30" s="19" t="s">
        <v>137</v>
      </c>
      <c r="E30" s="19" t="s">
        <v>138</v>
      </c>
    </row>
    <row r="31" spans="1:5" x14ac:dyDescent="0.25">
      <c r="B31" s="19" t="s">
        <v>275</v>
      </c>
      <c r="C31" s="26" t="s">
        <v>92</v>
      </c>
      <c r="D31" s="19" t="s">
        <v>139</v>
      </c>
      <c r="E31" s="19" t="s">
        <v>140</v>
      </c>
    </row>
    <row r="32" spans="1:5" x14ac:dyDescent="0.25">
      <c r="B32" s="19" t="s">
        <v>274</v>
      </c>
      <c r="C32" s="26" t="s">
        <v>95</v>
      </c>
      <c r="D32" s="19" t="s">
        <v>141</v>
      </c>
      <c r="E32" s="19" t="s">
        <v>142</v>
      </c>
    </row>
    <row r="33" spans="1:5" x14ac:dyDescent="0.25">
      <c r="B33" s="19" t="s">
        <v>273</v>
      </c>
      <c r="C33" s="26" t="s">
        <v>98</v>
      </c>
      <c r="D33" s="19" t="s">
        <v>143</v>
      </c>
      <c r="E33" s="19" t="s">
        <v>144</v>
      </c>
    </row>
    <row r="34" spans="1:5" x14ac:dyDescent="0.25">
      <c r="B34" s="19" t="s">
        <v>272</v>
      </c>
      <c r="C34" s="26" t="s">
        <v>101</v>
      </c>
      <c r="D34" s="19" t="s">
        <v>145</v>
      </c>
      <c r="E34" s="19" t="s">
        <v>146</v>
      </c>
    </row>
    <row r="35" spans="1:5" x14ac:dyDescent="0.25">
      <c r="B35" s="19" t="s">
        <v>283</v>
      </c>
      <c r="C35" s="26" t="s">
        <v>104</v>
      </c>
      <c r="D35" s="19" t="s">
        <v>147</v>
      </c>
      <c r="E35" s="19" t="s">
        <v>148</v>
      </c>
    </row>
    <row r="38" spans="1:5" ht="18.75" x14ac:dyDescent="0.25">
      <c r="A38" s="21" t="s">
        <v>219</v>
      </c>
      <c r="B38" s="21"/>
    </row>
    <row r="39" spans="1:5" x14ac:dyDescent="0.25">
      <c r="A39" s="20"/>
      <c r="B39" s="20"/>
      <c r="C39" s="20"/>
      <c r="D39" s="20"/>
      <c r="E39" s="20"/>
    </row>
    <row r="40" spans="1:5" x14ac:dyDescent="0.25">
      <c r="A40" s="19" t="s">
        <v>149</v>
      </c>
      <c r="B40" s="19" t="s">
        <v>270</v>
      </c>
      <c r="C40" s="26" t="s">
        <v>83</v>
      </c>
      <c r="D40" s="19" t="s">
        <v>84</v>
      </c>
      <c r="E40" s="19" t="s">
        <v>150</v>
      </c>
    </row>
    <row r="42" spans="1:5" ht="30" x14ac:dyDescent="0.25">
      <c r="A42" s="19" t="s">
        <v>151</v>
      </c>
      <c r="B42" s="19" t="s">
        <v>284</v>
      </c>
      <c r="C42" s="26" t="s">
        <v>95</v>
      </c>
      <c r="D42" s="19" t="s">
        <v>291</v>
      </c>
      <c r="E42" s="19" t="s">
        <v>152</v>
      </c>
    </row>
    <row r="43" spans="1:5" x14ac:dyDescent="0.25">
      <c r="B43" s="19" t="s">
        <v>285</v>
      </c>
      <c r="C43" s="26" t="s">
        <v>153</v>
      </c>
      <c r="D43" s="19" t="s">
        <v>292</v>
      </c>
      <c r="E43" s="19" t="s">
        <v>154</v>
      </c>
    </row>
    <row r="44" spans="1:5" x14ac:dyDescent="0.25">
      <c r="B44" s="19" t="s">
        <v>286</v>
      </c>
      <c r="C44" s="26" t="s">
        <v>98</v>
      </c>
      <c r="D44" s="19" t="s">
        <v>293</v>
      </c>
      <c r="E44" s="19" t="s">
        <v>155</v>
      </c>
    </row>
    <row r="45" spans="1:5" x14ac:dyDescent="0.25">
      <c r="B45" s="19" t="s">
        <v>287</v>
      </c>
      <c r="C45" s="26" t="s">
        <v>101</v>
      </c>
      <c r="D45" s="19" t="s">
        <v>289</v>
      </c>
      <c r="E45" s="19" t="s">
        <v>156</v>
      </c>
    </row>
    <row r="46" spans="1:5" x14ac:dyDescent="0.25">
      <c r="B46" s="19" t="s">
        <v>288</v>
      </c>
      <c r="C46" s="26" t="s">
        <v>104</v>
      </c>
      <c r="D46" s="19" t="s">
        <v>290</v>
      </c>
      <c r="E46" s="19" t="s">
        <v>157</v>
      </c>
    </row>
    <row r="48" spans="1:5" x14ac:dyDescent="0.25">
      <c r="A48" s="19" t="s">
        <v>158</v>
      </c>
      <c r="B48" s="19" t="s">
        <v>284</v>
      </c>
      <c r="C48" s="26" t="s">
        <v>95</v>
      </c>
      <c r="D48" s="19" t="s">
        <v>294</v>
      </c>
      <c r="E48" s="19" t="s">
        <v>159</v>
      </c>
    </row>
    <row r="49" spans="1:5" x14ac:dyDescent="0.25">
      <c r="B49" s="19" t="s">
        <v>285</v>
      </c>
      <c r="C49" s="26" t="s">
        <v>153</v>
      </c>
      <c r="D49" s="19" t="s">
        <v>295</v>
      </c>
      <c r="E49" s="19" t="s">
        <v>160</v>
      </c>
    </row>
    <row r="50" spans="1:5" x14ac:dyDescent="0.25">
      <c r="B50" s="19" t="s">
        <v>286</v>
      </c>
      <c r="C50" s="26" t="s">
        <v>98</v>
      </c>
      <c r="D50" s="19" t="s">
        <v>296</v>
      </c>
      <c r="E50" s="19" t="s">
        <v>161</v>
      </c>
    </row>
    <row r="51" spans="1:5" x14ac:dyDescent="0.25">
      <c r="B51" s="19" t="s">
        <v>287</v>
      </c>
      <c r="C51" s="26" t="s">
        <v>101</v>
      </c>
      <c r="D51" s="19" t="s">
        <v>297</v>
      </c>
      <c r="E51" s="19" t="s">
        <v>162</v>
      </c>
    </row>
    <row r="52" spans="1:5" x14ac:dyDescent="0.25">
      <c r="B52" s="19" t="s">
        <v>288</v>
      </c>
      <c r="C52" s="26" t="s">
        <v>104</v>
      </c>
      <c r="D52" s="19" t="s">
        <v>298</v>
      </c>
      <c r="E52" s="19" t="s">
        <v>163</v>
      </c>
    </row>
    <row r="54" spans="1:5" ht="30" x14ac:dyDescent="0.25">
      <c r="A54" s="19" t="s">
        <v>164</v>
      </c>
      <c r="B54" s="19" t="s">
        <v>284</v>
      </c>
      <c r="C54" s="26" t="s">
        <v>95</v>
      </c>
      <c r="D54" s="19" t="s">
        <v>299</v>
      </c>
      <c r="E54" s="19" t="s">
        <v>165</v>
      </c>
    </row>
    <row r="55" spans="1:5" x14ac:dyDescent="0.25">
      <c r="B55" s="19" t="s">
        <v>285</v>
      </c>
      <c r="C55" s="26" t="s">
        <v>153</v>
      </c>
      <c r="D55" s="19" t="s">
        <v>300</v>
      </c>
      <c r="E55" s="19" t="s">
        <v>166</v>
      </c>
    </row>
    <row r="56" spans="1:5" ht="30" x14ac:dyDescent="0.25">
      <c r="B56" s="19" t="s">
        <v>286</v>
      </c>
      <c r="C56" s="26" t="s">
        <v>98</v>
      </c>
      <c r="D56" s="19" t="s">
        <v>301</v>
      </c>
      <c r="E56" s="19" t="s">
        <v>167</v>
      </c>
    </row>
    <row r="57" spans="1:5" x14ac:dyDescent="0.25">
      <c r="B57" s="19" t="s">
        <v>287</v>
      </c>
      <c r="C57" s="26" t="s">
        <v>101</v>
      </c>
      <c r="D57" s="19" t="s">
        <v>302</v>
      </c>
      <c r="E57" s="19" t="s">
        <v>168</v>
      </c>
    </row>
    <row r="58" spans="1:5" ht="30" x14ac:dyDescent="0.25">
      <c r="B58" s="19" t="s">
        <v>288</v>
      </c>
      <c r="C58" s="26" t="s">
        <v>104</v>
      </c>
      <c r="D58" s="19" t="s">
        <v>303</v>
      </c>
      <c r="E58" s="19" t="s">
        <v>304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1. Dashboard</vt:lpstr>
      <vt:lpstr>2. Use Cases</vt:lpstr>
      <vt:lpstr>3. DVF Filtering</vt:lpstr>
      <vt:lpstr>4. WSJF Scoring</vt:lpstr>
      <vt:lpstr>5. Dependencies Schedule</vt:lpstr>
      <vt:lpstr>6. Portfolio View</vt:lpstr>
      <vt:lpstr>7. Solutions</vt:lpstr>
      <vt:lpstr>8. Scoring Guidelines</vt:lpstr>
      <vt:lpstr>BusinessValueTable</vt:lpstr>
      <vt:lpstr>BusinessValueTerms</vt:lpstr>
      <vt:lpstr>DesirabilityTable</vt:lpstr>
      <vt:lpstr>DesirabilityTerm</vt:lpstr>
      <vt:lpstr>FeasibilityTable</vt:lpstr>
      <vt:lpstr>FeasibilityTerm</vt:lpstr>
      <vt:lpstr>ViabilityTable</vt:lpstr>
      <vt:lpstr>ViabilityTerm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Dermot O'Brien</cp:lastModifiedBy>
  <dcterms:created xsi:type="dcterms:W3CDTF">2025-12-04T17:45:29Z</dcterms:created>
  <dcterms:modified xsi:type="dcterms:W3CDTF">2025-12-05T01:09:35Z</dcterms:modified>
</cp:coreProperties>
</file>