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Work\BNZ\ai-platform-architecture\01-motivation\03-use-cases\"/>
    </mc:Choice>
  </mc:AlternateContent>
  <xr:revisionPtr revIDLastSave="0" documentId="13_ncr:1_{F1178D94-504C-4C17-ACD0-120A8F2DB4E1}" xr6:coauthVersionLast="47" xr6:coauthVersionMax="47" xr10:uidLastSave="{00000000-0000-0000-0000-000000000000}"/>
  <bookViews>
    <workbookView xWindow="-120" yWindow="-120" windowWidth="29040" windowHeight="15720" xr2:uid="{D17DFEBB-C1DA-884C-BE50-2EFCBBCD42CC}"/>
  </bookViews>
  <sheets>
    <sheet name="AA" sheetId="1" r:id="rId1"/>
    <sheet name="Lists" sheetId="2" r:id="rId2"/>
    <sheet name="Sheet2" sheetId="6" r:id="rId3"/>
    <sheet name="Categories" sheetId="3" r:id="rId4"/>
    <sheet name="Full columns" sheetId="5" r:id="rId5"/>
  </sheets>
  <definedNames>
    <definedName name="_xlnm._FilterDatabase" localSheetId="0" hidden="1">AA!$A$1:$M$26</definedName>
    <definedName name="_xlnm._FilterDatabase" localSheetId="3" hidden="1">Categories!#REF!</definedName>
    <definedName name="_xlnm._FilterDatabase" localSheetId="4" hidden="1">'Full columns'!$A$1:$AC$27</definedName>
    <definedName name="_xlnm.Extract" localSheetId="3">Categories!$A$1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 l="1"/>
  <c r="B4" i="3"/>
  <c r="B5" i="3"/>
  <c r="B6" i="3"/>
  <c r="B7" i="3"/>
  <c r="B8" i="3"/>
  <c r="B9" i="3"/>
  <c r="B10" i="3"/>
  <c r="B11" i="3"/>
  <c r="B12" i="3"/>
  <c r="B13" i="3"/>
  <c r="B14" i="3"/>
  <c r="B15" i="3"/>
  <c r="B16" i="3"/>
  <c r="B17" i="3"/>
  <c r="B18" i="3"/>
  <c r="B19" i="3"/>
  <c r="B20" i="3"/>
  <c r="B21" i="3"/>
  <c r="B2" i="3"/>
</calcChain>
</file>

<file path=xl/sharedStrings.xml><?xml version="1.0" encoding="utf-8"?>
<sst xmlns="http://schemas.openxmlformats.org/spreadsheetml/2006/main" count="815" uniqueCount="367">
  <si>
    <t>ID</t>
  </si>
  <si>
    <t xml:space="preserve">AI Use Case </t>
  </si>
  <si>
    <t>Description (DO NOT CHANGE THIS)</t>
  </si>
  <si>
    <t>Enterprise Architect</t>
  </si>
  <si>
    <t>Assumed Benefits</t>
  </si>
  <si>
    <t>Anticipated Value</t>
  </si>
  <si>
    <t>Likely other slate Initiatives impacted</t>
  </si>
  <si>
    <t>Platforms impacted/required</t>
  </si>
  <si>
    <t>Dependencies (what needs to be true for this use case?)</t>
  </si>
  <si>
    <t>Comments / Questions / Assumptions</t>
  </si>
  <si>
    <t>Assumed Data Inputs</t>
  </si>
  <si>
    <t>Data Outputs (select)</t>
  </si>
  <si>
    <t>Assumed Data Outputs</t>
  </si>
  <si>
    <t>FrontLine - Partnership Banking</t>
  </si>
  <si>
    <t>GenAI-driven RM solutions provide banks with a competitive edge by deepening banker-customer relationships, thereby optimizing customer interactions, improving engagement, and streamlining service delivery.</t>
  </si>
  <si>
    <t>Shawn Cawood 
Dan Barratt
Hugh Walcott (knowledge)
Sarah Amundsen (customer engagement)</t>
  </si>
  <si>
    <t>Increased revenue through improved cross-sell/upsell effectiveness; Enhanced customer satisfaction and retention; Reduced relationship manager preparation time; Improved customer lifetime value; Better risk identification and proactive engagement.</t>
  </si>
  <si>
    <t>High</t>
  </si>
  <si>
    <t>Customer Engagement
Customer 360</t>
  </si>
  <si>
    <t xml:space="preserve">Colleague Digital
Conversational Banking
Customer Engagment
Enterprise Information Management </t>
  </si>
  <si>
    <t>- GenAI Auto-Categorisation MicroService (EIM TSA)
- Mongo Atlas vector database (ES FY26 deliverbale)
- DocMan ingestion of frontline documents (MCF and VRetrieve ingestion - EIM FY27?)
- SalesForce offboarding to EIM (C360 FY26 deliverable)
- DocMan intelligent search (EIM FY27?)
- Trial and adoption of Salesforce Agentforce, to provide insights into the customer relationship and sales opportunities
- Integration of Salesforce to Te Kete, to support AI assisted knowledge retrival and summarisation</t>
  </si>
  <si>
    <t xml:space="preserve">Assume this includes access to knowledge base (Te Kete).  
SA: having a holistic/central customer interaction history (IH) is critical to all Customer Engagement channels, and C360 is both a 'channel' for data coming from the new MarTech tool and CDH, and provides input to customer IH and lead scoring; I don't envisage there being a need for AI in the context of C360 beyond what functionality may exist already (I am not close enough to C360 to know if/what exists).  SA again: see also comments in row 24.
AC: Does this include Te Kete integration, or is this focused on the NBC being surfaced into channel (Digital or C360)? (DB: Both)
HW: I have assumed the use case refers to the customer records we already have (distributed across multiple repos including MCF, VRetrieve, SalesForce), so does not require Te Kete, but instead requires a semantic layer over these repos (a deliverable aligned to EIM). </t>
  </si>
  <si>
    <t>Customer documentation, profiles, transaction history, interaction logs, product holdings, financial statements, market data, relationship tenure, communication, calendar/meeting data, CRM records</t>
  </si>
  <si>
    <t>Personalized recommendations, next best action suggestions, customer insights summaries, meeting preparation briefs, relationship health scores, cross-sell/upsell opportunities, automated communication drafts, risk alerts, customer sentiment analysis, personalised marketing and recommendaitons, enhanced customer support (with chatbots), better fraud detection, document anlaysis and compliance, trend identification and prodictive analytics, targeted knowledge articles.</t>
  </si>
  <si>
    <t>Finance</t>
  </si>
  <si>
    <t>Transform raw financial data into well-structured reports (e.g., P&amp;L, balance sheets, variance analysis)</t>
  </si>
  <si>
    <t>Brian Stapleton
Tracey Davis</t>
  </si>
  <si>
    <t>Reduced month-end close time; Improved accuracy and reduced manual errors; Faster decision-making with real-time insights; Enhanced regulatory compliance; Reduced FTE costs in financial reporting.</t>
  </si>
  <si>
    <t>Finance Transformation 
Data Modernisation</t>
  </si>
  <si>
    <t>Finance
Data &amp; Analytics
Enterprise Reporting
Regulatory Reporting</t>
  </si>
  <si>
    <t>Legacy Finance Data Stores; Enterprise Interfaces</t>
  </si>
  <si>
    <t xml:space="preserve">Need to ensure Fabric ingestion model is approved through TAF
BJS: I have not seen this experiment, however S4HANA will include SAC (SAP Analytics Cloud) which will address much of the operational month reporting and reduce the month end close. This is already in scope and will be delivered by the project October 2026. The experiment would need to export significant amounts of data from ODM to another data warehouse (Fabric?) and create a new set of reports which are already done in ODM, plus reconciling from the ODM to the new Fabric warehouse. </t>
  </si>
  <si>
    <t>General ledger data, trial balance, chart of accounts, transaction records, budget data, prior period financials, cost center allocations, journal entries, reconciliation records, regulatory filings</t>
  </si>
  <si>
    <t>Formatted P&amp;L statements, balance sheets, variance analysis reports, trend visualizations, anomaly alerts, narrative explanations of variances, predictive forecasts, executive summaries, regulatory compliant reports</t>
  </si>
  <si>
    <t>Analytics and Reporting</t>
  </si>
  <si>
    <t>AI builds on BI by turning historical data into proactive guidance, predictions, and optimisation</t>
  </si>
  <si>
    <t>Tracey Davis</t>
  </si>
  <si>
    <t>Democratized data access reducing analyst dependency; Proactive decision-making with predictive capabilities; Reduced report generation time from days to minutes; Improved business agility and responsiveness; Enhanced data-driven culture across organization.</t>
  </si>
  <si>
    <t>Data Modernisation</t>
  </si>
  <si>
    <t>Data &amp; Analytics
Enterprise Reporting
Regulatory Reporting
Data &amp; Information Protection</t>
  </si>
  <si>
    <t>Dependent on Data modernisation, snowflake and fivetran in prior to this acceleration. Or is this something we use against Hadoop</t>
  </si>
  <si>
    <t>Historical transaction data, customer behavior patterns, product performance metrics, operational KPIs, market indicators, seasonal trends, external economic data, business rules, dimensional models</t>
  </si>
  <si>
    <t>Predictive insights, trend forecasts, automated dashboards, natural language summaries, optimization recommendations, anomaly detection alerts, what-if scenario analysis, prescriptive actions, self-service analytics via NL queries</t>
  </si>
  <si>
    <t>Credit Risk</t>
  </si>
  <si>
    <t>GenAI-driven Credit Risk solutions empower banks with data-driven decision-making, operational efficiency, and risk-optimized lending. By integrating AI into credit risk processes  banks can accelerate approvals, improve risk monitoring and credit portfolio management thereby driving profitability while ensuring compliance and customer-centric services.</t>
  </si>
  <si>
    <t>Paul Furkert</t>
  </si>
  <si>
    <t>Reduced credit losses through better risk assessment; Faster loan approval times improving customer experience; Optimized pricing increasing profitability; Enhanced portfolio monitoring reducing defaults; Improved regulatory compliance and capital efficiency.</t>
  </si>
  <si>
    <t>Credit Decisioning Models</t>
  </si>
  <si>
    <t>Credit Modelling, Pricing &amp; Decisioning
Group Credit Risk</t>
  </si>
  <si>
    <t>Need to clarify if this is limited to the credit risk context or if there is a need for data from other sources</t>
  </si>
  <si>
    <t>Credit applications, financial statements, credit bureau reports, payment history, debt-to-income ratios, collateral valuations, industry sector data, macroeconomic indicators, existing exposure data, behavioral data, credit policies</t>
  </si>
  <si>
    <t>Credit scores, risk ratings, approval/rejection decisions, risk-adjusted pricing recommendations, portfolio risk metrics, early warning alerts, exposure limits, credit narratives, stress test results, compliance reports</t>
  </si>
  <si>
    <t>Lending Ops</t>
  </si>
  <si>
    <t xml:space="preserve">AI Document Processing for Loan Applications &amp; Compliance , credit assesment post settlement checks </t>
  </si>
  <si>
    <t>Paul Furkert/Angus Cotton</t>
  </si>
  <si>
    <t>Processing time reduction for loan applications; Improved accuracy reducing rework; Enhanced compliance with automated validation; Reduced operational costs; Faster time-to-yes improving customer satisfaction</t>
  </si>
  <si>
    <t>Customer 360
Home Loan Top Ups (?)</t>
  </si>
  <si>
    <t>Lending Origination
Credit Modelling, Pricing &amp; Decisioning
Enterprise Information Management (DocMan)</t>
  </si>
  <si>
    <t>Loan applications (PDFs/scans), identity documents, income verification documents, property valuations, legal contracts, compliance checklists, settlement documents, supporting financial records, email communications</t>
  </si>
  <si>
    <t>Extracted data fields, document classification tags, compliance validation status, missing document alerts, risk flags, automated summaries, post-settlement verification reports, exception notifications, audit trails</t>
  </si>
  <si>
    <t>HyperPersonalization</t>
  </si>
  <si>
    <t>Generative AI enables new customer relevance through a reinvention of marketing, sales, and service experiences</t>
  </si>
  <si>
    <t>Corina Elama
Sarah Amundsen</t>
  </si>
  <si>
    <t>Increased campaign conversion rates; Higher customer engagement and satisfaction scores; Improved product adoption; Reduced customer churn; Enhanced brand loyalty and NPS scores</t>
  </si>
  <si>
    <t>Customer Digital
Customer Engagement
Marketing &amp; Campaign management</t>
  </si>
  <si>
    <t xml:space="preserve">Language Model including data ingestion processes to generate possible next best actions 
Decisioning engine for generation next best offer - Pega CDH?
Content Management System - dynamic content generation based on dynamic offering
A/B testing platform 
Communications Delivery Platform for journey orchestration 
Channels being enhanced to support the righ medium to support this hyper personalised context
Pricing Manager </t>
  </si>
  <si>
    <t>Points 6 and 24 should be linked as I assume that personalisation is driven from the same space, potentially taking different shapes based on channels. Expected that much of the depencies mentioned are part of the MarTech tool that is currently looked at</t>
  </si>
  <si>
    <t>Customer demographics, transaction patterns, channel preferences, life events, product usage data, browsing behavior, campaign response history, sentiment analysis, external context (weather/events), real-time triggers</t>
  </si>
  <si>
    <t>Unclear at this time</t>
  </si>
  <si>
    <t>Personalized offers, targeted campaign content, individualized product recommendations, dynamic pricing, customized communication timing, micro-segment assignments, propensity scores, journey orchestration decisions, A/B test variants</t>
  </si>
  <si>
    <t>Contact Centre</t>
  </si>
  <si>
    <t>Generate a call summary, using the captured transcription of each call. Agent-assist features, surfacing relevent knowlege and customer information, based on the realtime call. Customer-assist self-service features, enabling an natural and open conversaitons using a Conversational AI tool</t>
  </si>
  <si>
    <t>Dan Barratt</t>
  </si>
  <si>
    <t>Reduced average handle time; Improved first call resolution; Enhanced customer satisfaction (CSAT) scores; Reduced agent training time; Lower operational costs through automation of inquiries</t>
  </si>
  <si>
    <t>Digital Modernisation</t>
  </si>
  <si>
    <t>Conversational Banking</t>
  </si>
  <si>
    <t>1) Customer self-service features require access to customer and account APIs, as well as access to public knowledge articles
2) Requires an uplift in Conversational platform operations team, to monitor and tune AI performance</t>
  </si>
  <si>
    <t>AC: Why is there a dependency on Customer self-service features for this function?</t>
  </si>
  <si>
    <t>Call transcripts, chat logs, customer history, IVR interactions, knowledge base articles, product documentation, agent notes, escalation records, sentiment signals, hold time data, resolution outcomes</t>
  </si>
  <si>
    <t>Call summaries, sentiment scores, intent classification, next best responses, automated resolutions, agent assist suggestions, quality scores, coaching recommendations, FAQs, knowledge gaps, customer satisfaction predictions, routing decisions</t>
  </si>
  <si>
    <t xml:space="preserve"> Security AI - Detection &amp; Response Engineering
</t>
  </si>
  <si>
    <t>Use of AI to do the underlying semantics for orchestrating and automating the removal of noise  and enhancing  accuracy than traditional tools by analysing and augmenting large volumes of network, endpoint, and user context/data in real time to enable the bank to detect and respond to threats with precision. This use case should also extend to using AI for enabling autonomic containment and investigation of  cyber incidents.</t>
  </si>
  <si>
    <t>Francis Kaitano
Mike Thompson 
John Marshall
Glenn Bellam
Tracey Hughes</t>
  </si>
  <si>
    <t>1.Reduced threat detection time from hours to minutes; reduction in false positives; Prevented potential losses from cyber attacks; Enhanced regulatory compliance and risk management; Improved security team efficiency.
2.  Security AI - Remediation Operations, Security &amp; Compliance as Code i.e. Use of AI to enable fast, consistent and scalable remediation of security defects, vulnerabilities and configuration issues in an efficient and frictionless manner using Ai assisted security policy and compliance as code with the goal of enabling the bank to deliver secure, quality, compliant and reliable code, data and infrastructure. Notable benefits will include but not limited to:
Increase in efficiencies around the delivery of quality, secure and compliant code.
Enhance Developer experience through the reduction of Toil(Security Defects &amp; Vulnerability Fixing) by x%.
Reduction of production vulnerabilities by Y% due to early detection and remediation of defects before production
Increased and continuous assurance in terms of meeting our regulatory and CHF requirements - Evergreen builds.
etc.</t>
  </si>
  <si>
    <t>Cyber Uplift</t>
  </si>
  <si>
    <t>Cyber Threat Intelligence Detection and Response
Enterprise Data and Information Protection
Application &amp; Infrastructure Protection
Core Network Management</t>
  </si>
  <si>
    <t>1) Require Uplift in Security Observability &amp; Operational Observability.
2) Next Generation SIEM and SOAR uplift is required as a foundational enabler
3. Strong foundations and getting the basics right for Threat Intelligence is key. Current capabilities are immature and not fit for purpose.
4. Investments in enabling orchestration of standardised patterns for detection and response logic across all the key areas is a must invest in (Application, Cloud, Data, Integration, Endpoint &amp; Networking) 
5) Simplification and uplift of the Engineering Automation, Infrastructure Foundations pipelines is key to delivering outcomes
6) DevOps Operating Model (Enterprise Level)
7. Transformation and overhaul of the current vulnerability management model.</t>
  </si>
  <si>
    <r>
      <t xml:space="preserve">Does this differ to Wiz investment?or does it need other end point detection to be in place?  </t>
    </r>
    <r>
      <rPr>
        <sz val="13"/>
        <color rgb="FF002060"/>
        <rFont val="Calibri"/>
        <family val="2"/>
      </rPr>
      <t>" Wiz is only one part of the equation, this needs investments across the various components which makes our detection and response logic i.e. the Application, Cloud, Data, Infrastructure, Integration, Endpoint and Network Detection &amp; Response Layers to ensure that all these layers are fluent in AI and can coherently provide the context(feeds) required to enable the AI aspects to be autonomic in action" Francis. K</t>
    </r>
    <r>
      <rPr>
        <sz val="13"/>
        <color theme="1"/>
        <rFont val="Calibri"/>
        <family val="2"/>
      </rPr>
      <t xml:space="preserve">. Also Requires close collaboration to drive consistent uplift and modernisation across all parties involved in the devlivey of software, data and infra through the various delivery pipelines. The Engineei Engineering Automation &amp; Software + Infra Foundation Platforms are key enablers of outcomes. </t>
    </r>
  </si>
  <si>
    <t>1. SDLC (App, Cloud/Infra, Data) pipeline context
2. Golden Path patterns
3. Policy Information and Enforcement Data across the development pipelines
4. Business Context
5. Threat Intelligence Context + All security logs and context: e.g.  Cloud, Application,  Network traffic logs, endpoint activity, authentication events, firewall logs, SIEM alerts, vulnerability scans, user behavior patterns, threat intelligence feeds, system configurations, access logs, email metadata, DNS queries,etc.</t>
  </si>
  <si>
    <t>1. Risk Based Remediation and Reachability Context
2. Real time SDLC wide Security Posture and Exposure View
3. Defect &amp; Vulnerability Burn Rates
4. Multi Framework Compliance View e.g. CPS 234, CHF, PCI DSS, etc.
5. Team specific self serv dashboards.
6. Threat Intelligence, detection alerts, risk scores, attack pattern identification, anomaly reports, automated response actions, incident prioritization, threat hunting insights, security posture assessments, remediation recommendations, false positive reduction, IOC lists</t>
  </si>
  <si>
    <t>Data Products</t>
  </si>
  <si>
    <t>Extend GenAI intervention to accelerate data product creation</t>
  </si>
  <si>
    <t>Accelerated data product delivery; Improved data quality and consistency; Enhanced data discoverability and reusability; Reduced time-to-insight for business users; Lower data engineering costs.</t>
  </si>
  <si>
    <t>Data &amp; Analytics
Enterprise Rerporting
Regulatory Reporting
Enterprise Data &amp; Information Protection</t>
  </si>
  <si>
    <t xml:space="preserve">Data ingestion spreadsheet showing the key subject areas. </t>
  </si>
  <si>
    <t>Is the scope the use of Snowflake Cortex; or does it go beyond that into enterprise agentic?</t>
  </si>
  <si>
    <t>Business requirements, data source metadata, schema definitions, data quality rules, data lineage, existing data models, governance policies, user access patterns, data catalog content, technical documentation</t>
  </si>
  <si>
    <t>Data product specifications, automated data pipelines, data quality checks, documentation, API definitions, sample datasets, data models, metadata tags, usage analytics, data contracts, discovery content, observability metrics</t>
  </si>
  <si>
    <t>SDLC</t>
  </si>
  <si>
    <t>GenAI can automate key SDLC tasks, enhancing productivity, and reducing costs. By integrating GenAI, banks can accelerate time-to-market, improve code quality, enhance security, and reduce development overhead</t>
  </si>
  <si>
    <t>Glenn Bellam</t>
  </si>
  <si>
    <t>Developer productivity increased; Faster time-to-market; Reduced bugs and security vulnerabilities; Improved code quality and maintainability; Lower technical debt accumulation.</t>
  </si>
  <si>
    <t>tbc</t>
  </si>
  <si>
    <t>Engineering Automation &amp; Software
Application &amp; Infrastructure Protection</t>
  </si>
  <si>
    <t xml:space="preserve">Github Copilot, Golden paths, uplift in software design and requirements and testing practices. </t>
  </si>
  <si>
    <t xml:space="preserve">Huge impact as it will change the way we develop software for our 500+ domain teams.  We don't see software designs at TAF at the moment - usually just infrastructure ones.  We need a lift up in practices around software designs including things like state flows and sequence diagrams to inform GenAI in the creation of code and unit test practices.  Expect significant change to domain team and developer workflows out of this.
AC: Is it just Github CoPilot, or are we also looking at other dependencies, such as AgentCore, Q, etc
HW: I wonder if this use case also cover our partners and vendors who are 'vibe coding' software on our behalf (e.g Datacom for code migraiton)  </t>
  </si>
  <si>
    <t>Source code repositories, user stories, requirements documents, design specifications, test cases, deployment logs, code review comments, security scan results, performance metrics, dependency manifests, architecture diagrams</t>
  </si>
  <si>
    <t>Code suggestions, automated tests, documentation, code reviews, security vulnerability fixes, refactoring recommendations, deployment scripts, API documentation, performance optimization suggestions, technical debt analysis, commit messages</t>
  </si>
  <si>
    <t>Fincrime</t>
  </si>
  <si>
    <t>Name screening, OCDD, ECDD and TM narrative writing</t>
  </si>
  <si>
    <t>Michael Lomas</t>
  </si>
  <si>
    <t>Reduced investigation time; Improved detection accuracy reducing false positives; Enhanced regulatory compliance and audit readiness; Lower operational costs; Faster filing and response times.</t>
  </si>
  <si>
    <t>FinCrime
Fraud &amp; Scams</t>
  </si>
  <si>
    <t>FinCrime &amp; Fraud
Customer Master
Domestic Payments
International Payments
Transaction Switch
Cyber Threat Intelligence, Detection &amp; Response</t>
  </si>
  <si>
    <t>All the key enterprise data products and enterprise interfaces (not owned by FinCrime &amp; Fraud)
BNZ GenAI capabilities running over enterprise data products etc (not owned by FinCrime &amp; Fraud) in BDH
Fully Productionised AWS Sagemaker</t>
  </si>
  <si>
    <t>OCDD/ECDD/TM narrative writing covered by BNZ's planned GenAI capability running over enterprise data products/enterprise data interfaces (that we don't own) + Pega's GenAI/AgenticAI capabilities.
Machine Learning using enterprise data products (that we don't own) in AWS Sagemaker
Assumes exiting Accenture AIDT due to low value over BNZ planned capability
Name Screening is a area AI opportunity. Post Sanctions core system upgrade in FY26, a revisit of the whole Sanctions capability will be performed to assess modernisation needs and AI opportunities. These may come from encumbent or new vendors, or point to home grown build (as per ASB for Name Screening).</t>
  </si>
  <si>
    <t>Customer names, transaction data, sanctions lists, PEP lists, adverse media sources, corporate registries, beneficial ownership data, transaction patterns, geographic risk data, customer due diligence questionnaires, relationship structures</t>
  </si>
  <si>
    <t>Name screening matches, risk scores, OCDD/ECDD reports, transaction monitoring narratives, alert dispositions, SAR filings, customer risk ratings, investigation summaries, compliance documentation, red flag indicators, case recommendations</t>
  </si>
  <si>
    <t>QA/QC</t>
  </si>
  <si>
    <t>Automate data validation, detecting errors, and ensuring compliance with regulatory standards. Prioritizes high-risk cases, generates audit-ready reports, and provides real-time feedback to analysts, reducing manual effort and improving accuracy</t>
  </si>
  <si>
    <t>Brian Stapleton
Michael Lomas</t>
  </si>
  <si>
    <t>Reduced manual QA effort; Improved data quality and accuracy; Faster identification of high-risk issues; Enhanced regulatory compliance; Lower operational risk and audit findings.</t>
  </si>
  <si>
    <t>Medium</t>
  </si>
  <si>
    <t>Process, Worklfow and Workforce Automation
Governance, Operational Risk &amp; Compliance
Regulatory Reporting</t>
  </si>
  <si>
    <t>Need to clarify which QA/QC processes are in scope and across which areas in the organisation, e.g. frontline bankers, banking operations etc
BJS: I actually do not know what QA/QC this is referring to and what the Audit Ready Reports are in this context. Is this related to Internal Audit? Or is this related to Risk via GRACE? 
ML: Indeed, QA/QC is homeless in our PoP model, despite several attempts to home it.</t>
  </si>
  <si>
    <t>Data sets to validate, business rules, regulatory requirements, historical error patterns, data quality metrics, schema definitions, reference data, audit logs, quality thresholds, analyst work products</t>
  </si>
  <si>
    <t>Validation results, error reports, data quality scores, compliance status indicators, prioritized issue lists, audit-ready reports, corrective action recommendations, real-time feedback alerts, quality trend analysis, exception handling guidance</t>
  </si>
  <si>
    <t>Fraud Ops</t>
  </si>
  <si>
    <t>AI can support case officers y Summarising customer history, Highlighting suspicious patterns, Automatically pulling evidence from multiple systems</t>
  </si>
  <si>
    <t>Reduced fraud investigation time; Prevented fraud losses; Improved detection accuracy; Enhanced case officer productivit; Better customer experience with faster resolution.</t>
  </si>
  <si>
    <t>FinCrime &amp; Fraud
Customer Master
Domestic Payments
International Payments
Transaction Switch
Core Banking Ledger
C360
Cyber Threat Intelligence, Detection &amp; Response</t>
  </si>
  <si>
    <t>Successful running of the Fraud Transformation programme - Investigations/Pega will come later in the programme vs day 1
All the key enterprise data products and enterprise interfaces (not owned by FinCrime &amp; Fraud)</t>
  </si>
  <si>
    <t xml:space="preserve">This is covered by planned/funded usage of FICO's Enterprise Fraud Service alert/triage capabilities, which is GenAI (and in the future Agentic AI) enabled + Pega's Gen/AgenticAI usage (for investigations). </t>
  </si>
  <si>
    <t>Transaction history, customer profiles, account activity, device fingerprints, IP addresses, merchant data, fraud rules, historical fraud cases, behavioral patterns, channel data, geolocation data, contact information</t>
  </si>
  <si>
    <t>Customer history summaries, suspicious pattern highlights, fraud risk scores, evidence packages, case investigation briefs, pattern analysis, anomaly alerts, recommended actions, cross-system correlations, investigation timelines, fraud type classifications</t>
  </si>
  <si>
    <t>Onboarding</t>
  </si>
  <si>
    <t>AI streamlines onboarding by automating ID verification, KYC checks, and risk assessment for faster, safer customer activation</t>
  </si>
  <si>
    <t>Brett Allport</t>
  </si>
  <si>
    <t>Reduced onboarding time from days to hours; Improved customer experience and conversion rates; Enhanced compliance with automated checks; Lower operational costs; Reduced abandonment rates.</t>
  </si>
  <si>
    <t>Digital Modernisation
Onboarding
Enterprise Document Management</t>
  </si>
  <si>
    <t>Customer Digital
Customer &amp; Party Lifecycle Management
Customer &amp; Party Master
Enterprise Information Management</t>
  </si>
  <si>
    <t xml:space="preserve">Fenergo/Fenx, 
Pega Workflow dependencies
Secure Document Exchange (so customer can upload documents that are immediately scanned)
GenAI Auto-Categorisation MicroService (EIM TSA) </t>
  </si>
  <si>
    <r>
      <t xml:space="preserve">Backoffice verification, not front office onboarding. Ops CDD/KYC
AC: Can this extend to AI checks being adequate for digital onboarding without the need for human oversight? i.e. Customer uploads relevant documents / provides data -&gt; verified -&gt; onboarded
HW: I wonder if this use case is linked to #1, i.e. when a customer uploads documents, they are automatically scanned, tagged, grouped and classified intelligently for faster onboarding.
BA:  Potential Fenergo use-case (non-personal) where they have an AI that can extract data out of a customer provided document to accelerate data entry.  We're currently seeking a product demo.  </t>
    </r>
    <r>
      <rPr>
        <b/>
        <sz val="13"/>
        <color theme="1"/>
        <rFont val="Calibri"/>
        <family val="2"/>
      </rPr>
      <t>NOTE: this would only be interrogating foundational documents, not identity documents - this is a capability of our existing BioHub vendors</t>
    </r>
  </si>
  <si>
    <t xml:space="preserve">ID documents (passport/license), proof of address, customer application forms, biometric data, credit bureau reports, sanctions/PEP lists, corporate documents, beneficial ownership data, source of funds documentation, risk questionnaires, payslips... </t>
  </si>
  <si>
    <t>ID verification results, KYC compliance status, risk assessment scores, customer profiles, onboarding decisions (approve/reject/review), missing information alerts, verification reports, workflow task assignments, audit trails, regulatory reporting data</t>
  </si>
  <si>
    <t>Risk functions- Risk Functions - Operational Risk, Market Risk, Liquidity Risk,Model Risk, Compliance Risk Assessment, Tech Risk, Risk Assurance, Enterprise Risk</t>
  </si>
  <si>
    <t>AI reduces Operational Risk by identifying anomalies, streamlining investigations, and improving the accuracy of risk assessments</t>
  </si>
  <si>
    <t>GAP</t>
  </si>
  <si>
    <t>Improved risk detection reducing losses; Faster risk assessment and response times; Enhanced regulatory compliance and capital optimization; Reduced manual effort; Better enterprise-wide risk visibility and management.</t>
  </si>
  <si>
    <t>Governance, Op Risk, Compliance
Treasury Risk
Group Credit Risk
Regulatory Reporting</t>
  </si>
  <si>
    <t>Loss event data, control test results, market prices, trading positions, liquidity metrics, model performance data, compliance incidents, system vulnerabilities, audit findings, risk registers, exposure data, regulatory requirements</t>
  </si>
  <si>
    <t>Risk metrics and KRIs, anomaly alerts, risk assessment reports, control effectiveness scores, scenario analysis results, risk heat maps, early warning indicators, mitigation recommendations, regulatory reports, model validation results, compliance scorecards</t>
  </si>
  <si>
    <t xml:space="preserve">IT Ops - IT Operations  - </t>
  </si>
  <si>
    <t>Evolution of the Ticketing Process and Smart Routing - Incident / Service / Problem  Management, Security , Analytics, Identity and Access Management, Helpdesk, BCM</t>
  </si>
  <si>
    <t>John Marshall</t>
  </si>
  <si>
    <t>Reduced mean time to resolution (MTTR); Automated resolution of tickets; Improved SLA compliance and user satisfaction; Lower IT support costs; Better workload distribution and resource optimization.</t>
  </si>
  <si>
    <t>IT Asset, Assurance 
&amp; Service Management
Operational Observability</t>
  </si>
  <si>
    <t>Incident tickets, service requests, system logs, monitoring alerts, CMDB data, historical resolution data, user feedback, SLA definitions, team availability, skill matrices, knowledge base articles, access requests, BCM scenarios</t>
  </si>
  <si>
    <t>Ticket classification, priority assignments, routing decisions, automated resolutions, similar incident matches, root cause analysis, resolution suggestions, SLA predictions, workload distribution, knowledge article recommendations, access decisions, incident reports</t>
  </si>
  <si>
    <t>FrontLine - CIB</t>
  </si>
  <si>
    <t>Shawn Cawood, Dan Barratt</t>
  </si>
  <si>
    <t>Increased wallet share with corporate clients; Enhanced deal win rates; Improved relationship manager productivity; Better market intelligence and competitive positioning; Reduced client attrition and increased loyalty.</t>
  </si>
  <si>
    <t>Colleague Digital
Conversational Banking
Customer Engagment
Enterprise Information Management 
Money Markets</t>
  </si>
  <si>
    <t>- Trial and adoption of Salesforce Agentforce, to provide insights into the customer relationship and sales opportunities</t>
  </si>
  <si>
    <t>HW: I wonder if this use case requires the same capabilities as #1, frontline namely customer information intelligence (but with a difference customer segment?), both appear to require a semantic layer over existing record repos. 
DB: A lot of data needed for C&amp;IB will reside in Customer360, so we can leverage Salesforce AgentForce to support C&amp;IB outcomes</t>
  </si>
  <si>
    <t>Corporate client profiles, transaction volumes, product usage, financial statements, industry analysis, deal pipelines, market intelligence, relationship hierarchies, communication history, meeting notes, credit facilities</t>
  </si>
  <si>
    <t>Corporate insights, deal opportunities, relationship strategies, market trend analysis, competitive intelligence, risk alerts, product recommendations, client briefing documents, sector reports, pipeline forecasts, engagement plans</t>
  </si>
  <si>
    <t>Procurement</t>
  </si>
  <si>
    <t>Multi-Agent System for the End-to-end Procurement process optimization, from 
planning to goods receipt and invoicing, enhancing operational efficiency and realtime decision-making</t>
  </si>
  <si>
    <t>Brian Stapleton</t>
  </si>
  <si>
    <t>Cost savings through optimized sourcing; Reduced procurement cycle time; Improved supplier performance and risk management; Enhanced spend visibility and control; Lower invoice processing costs.</t>
  </si>
  <si>
    <t>Finance Transformation 
Workday Phase 2</t>
  </si>
  <si>
    <t>Procurement
Finance
People &amp; Culture</t>
  </si>
  <si>
    <t xml:space="preserve">BJS: This seems very nebulous. The procurement cycle time is not constrained by system (Coupa) but the processes around it. This will involve majority Coupa and P2P SAP. Supplier Lifecycle work is addressing a number of these processes and streamlining. We also have very limited Coupa support to create these new integrations for data whilst also replacing SAP this year, hence the ability to support this initiative would be very low.  DD&amp;A would need to supply a DevOps team for Coupa to design and build the integrations.  </t>
  </si>
  <si>
    <t>Purchase requisitions, supplier catalogs, contracts, pricing data, spend history, supplier performance metrics, inventory levels, invoices, goods receipts, approval workflows, budget allocations, compliance requirements</t>
  </si>
  <si>
    <t>Purchase recommendations, supplier selections, price optimization, contract analysis, spend analytics, invoice matching results, anomaly alerts, approval routing, budget impact analysis, supplier risk scores, process efficiency metrics, payment schedules</t>
  </si>
  <si>
    <t>Payment disputes</t>
  </si>
  <si>
    <t>Automate and orchestrate the end-to-end lifecycle of card payment disputes across 
two recurrent scenarios: Commercial Dispute and Fraud</t>
  </si>
  <si>
    <t>GAP - normally Paul Gallen</t>
  </si>
  <si>
    <t>Reduced dispute resolution time; Improved win rates on chargebacks; Enhanced customer satisfaction with faster resolutions; Lower operational costs; Better compliance with card scheme requirements. Customer self-service.</t>
  </si>
  <si>
    <t>P&amp;M New Transaction Switch
P&amp;M Payments Refurb
Fraud &amp; Scams</t>
  </si>
  <si>
    <t>Card Issuing
FinCrime &amp; Fraud
Domestic Payments
International Payments
Transaction Switch</t>
  </si>
  <si>
    <t>Card Issuing to (re)visit their plan re the introduction of Pega Smart Dispute
FinCrime &amp; Fraud to understand impact (based on that plan) to onboarding of Pega for Fraud (which disputes are 60% of the time)</t>
  </si>
  <si>
    <t>The target state solution here is Pega Smart Dispute (which NAB use). It is GenAI enabled, and in the new version, Agentic AI enabled. Originally scheduled for FY27. However desire to revisit that and see if we can reduce regrettable spend in the meantime.</t>
  </si>
  <si>
    <t>Dispute claims, transaction records, cardholder communications, merchant data, card scheme rules, supporting documentation, chargeback reason codes, historical dispute outcomes, customer account history, fraud indicators</t>
  </si>
  <si>
    <t>Dispute classifications, case routing, validity assessments, evidence gathering instructions, chargeback filings, resolution recommendations, customer communications, merchant notifications, outcome predictions, case status updates, reporting metrics</t>
  </si>
  <si>
    <t>Controls testing - IT and business</t>
  </si>
  <si>
    <t>tbc - not clear what the scope of this actually is</t>
  </si>
  <si>
    <t>Reduced testing effort; Continuous controls monitoring vs periodic testing; Improved control effectiveness and compliance; Earlier detection of control deficiencies; Lower audit costs and faster audit cycles.</t>
  </si>
  <si>
    <t>Does "controls" in this context mean Risk Controls?  If not, then what exactly?  Needs more information</t>
  </si>
  <si>
    <t>Control frameworks, test procedures, control documentation, system configurations, access logs, transaction samples, previous test results, audit requirements, control matrices, risk assessments, policy documents</t>
  </si>
  <si>
    <t>Test execution results, control effectiveness ratings, deficiency reports, remediation plans, testing schedules, evidence packages, compliance attestations, trend analysis, risk exposure assessments, audit-ready documentation</t>
  </si>
  <si>
    <t>Wholesale underwriting transformation - CIB</t>
  </si>
  <si>
    <t>End-to-end transformation of CIB Risk Underwring process, including: Data Collection 
+ Rating Calculation + Financial Program + Deal Approval + Continuous monitoring.</t>
  </si>
  <si>
    <t>Shawn Cawood, Lee Mauger</t>
  </si>
  <si>
    <t>Reduced underwriting time; Improved risk-adjusted pricing and profitability; Enhanced portfolio quality with continuous monitoring; Faster deal turnaround improving competitiveness; Lower credit losses through better risk assessment.</t>
  </si>
  <si>
    <t>Money Market
Core Banking Ledger</t>
  </si>
  <si>
    <t>Need more information</t>
  </si>
  <si>
    <t>Financial statements, credit applications, industry benchmarks, collateral data, relationship history, market conditions, covenant terms, risk appetite policies, deal structures, regulatory requirements, external ratings</t>
  </si>
  <si>
    <t>Credit ratings, risk assessments, deal recommendations, financial analysis reports, covenant monitoring alerts, approval workflows, pricing guidance, exposure calculations, portfolio impact analysis, continuous monitoring dashboards, credit memos</t>
  </si>
  <si>
    <t>Learning content production</t>
  </si>
  <si>
    <t>AI accelerates content creation by generating lessons, quizzes, and summaries tailored to specific roles and needs</t>
  </si>
  <si>
    <t>Hugh Walcott</t>
  </si>
  <si>
    <t>Reduced content creation time; Improved training personalization and effectiveness; Enhanced learning engagement and completion rates; Lower training development costs; Faster time-to-competency for new roles.</t>
  </si>
  <si>
    <t>Enterprise Information Management (knowledge and IP content)
People &amp; Culture (awards and development tracking)</t>
  </si>
  <si>
    <t>Knowledge Platform CoE (as per EIM's Knowledge Management target state)</t>
  </si>
  <si>
    <t xml:space="preserve">HW: I feel this use case also should include the creation of new knowledge articles, so be focused on </t>
  </si>
  <si>
    <t>Subject matter documentation, training materials, competency frameworks, role requirements, learning objectives, existing course content, regulatory training requirements, learner performance data, industry best practices</t>
  </si>
  <si>
    <t xml:space="preserve">Learning modules, quizzes, assessments, training summaries, interactive content, personalized learning paths, video scripts, infographics, knowledge checks, certification materials, progress tracking content, micro-learning nuggets, knowledge article headings and </t>
  </si>
  <si>
    <t>Collection Management</t>
  </si>
  <si>
    <t>AI optimises collections by predicting payment likelihood, prioritising accounts, and recommending the best recovery actions</t>
  </si>
  <si>
    <t>Improved recovery rates; Reduced collection costs; Better customer treatment and satisfaction; Optimized collector productivity; Lower write-offs through early intervention and targeted strategies.</t>
  </si>
  <si>
    <t>Collections Platform</t>
  </si>
  <si>
    <t>Collections &amp; Hardship</t>
  </si>
  <si>
    <t>Arrangement hub?</t>
  </si>
  <si>
    <t>Delinquent accounts, payment history, customer financial data, contact history, communication preferences, economic indicators, behavioral patterns, collection strategies, account balances, hardship indicators, legal constraints</t>
  </si>
  <si>
    <t>Payment likelihood scores, account prioritization, contact strategy recommendations, optimal contact timing, channel preferences, settlement offer suggestions, recovery action plans, collection workflow assignments, expected recovery amounts, early intervention triggers</t>
  </si>
  <si>
    <t>Front-end app personalisation</t>
  </si>
  <si>
    <t>Use of GenAI in the mobile app to drive hyper personalisation across 3 main areas in 
order to create an ‘Uber’ like experinece:1) automation of process using GenAI to 
determine message and campaign strategy for different micro segements 2) use of GenAI to automate creation of message content, including varients of each message for different subsegments and personas 3) to identify the right images assocuated to each message within the image library, however over time extended to include generation of personalised and bespoke images</t>
  </si>
  <si>
    <t>Corina Elama 
Sarah Amundsen
Brett Allport</t>
  </si>
  <si>
    <t>Increased app engagement; Higher product adoption through personalized recommendations; Improved NPS and customer satisfaction scores; Reduced marketing campaign costs; Enhanced brand differentiation with Uber-like experience.</t>
  </si>
  <si>
    <t>Digital Modernisation
Customer Engagement</t>
  </si>
  <si>
    <t>Customer Digital
Customer Identity &amp; Access Management
Customer Engagement
Marketing &amp; Campaign Management</t>
  </si>
  <si>
    <t>CDH</t>
  </si>
  <si>
    <r>
      <t>SA:  all 3 bullets in the description cover the scope of the new MarTech tool - which may or may not employ its integral AI functions (</t>
    </r>
    <r>
      <rPr>
        <i/>
        <sz val="13"/>
        <color rgb="FF000000"/>
        <rFont val="Calibri"/>
        <family val="2"/>
      </rPr>
      <t>note: a reqt from the RFP is that we can toggle AI features on/off, and design &amp; implementation is for Q2&amp;3 2026</t>
    </r>
    <r>
      <rPr>
        <sz val="13"/>
        <color rgb="FF000000"/>
        <rFont val="Calibri"/>
        <family val="2"/>
      </rPr>
      <t>); all 3 aspects are covered by the new tool, along with inter-dependencies with CDH of course - whose customer propensity model is already in our landscape so wouldn't presumably comprise 'additional' AI; the MarTech tool will deliver personalised comms (including real time) to a variety of channels, including mobile app.  
SA again: the only aspect that I am aware of where AI workflow support may be required, that is outside the scope for the MarTech/CDH tooling, is email reply management (i.e. directing email replies to appropriate team for action following an outbound email communication triggered by CDH or MarTech).</t>
    </r>
  </si>
  <si>
    <t>User profiles, app usage patterns, transaction history, location data, device information, micro-segment definitions, persona characteristics, image library metadata, campaign objectives, content guidelines, A/B test results, user feedback</t>
  </si>
  <si>
    <t>Message strategies, campaign plans, personalized message content, message variants for sub-segments, image recommendations, generated custom images, UI/UX personalization rules, in-app notifications, dynamic content blocks, engagement predictions</t>
  </si>
  <si>
    <t>Foundations</t>
  </si>
  <si>
    <t>An enabler or foundation and crosscutting use case that needs to be delivered to enable AI use cases.</t>
  </si>
  <si>
    <t>The use cases cannot be implemented without these foundational dependencies.</t>
  </si>
  <si>
    <t>AI Platform</t>
  </si>
  <si>
    <t>See slide 10 in https://bnz-my.sharepoint.com/:p:/g/personal/dermot_o'brien_bnz_co_nz/IQABaS_lBDevRLdt6-e0ClyiAR_OPn8r4-x9qTIxoZXhQe0?e=5mqBH1&amp;nav=eyJzSWQiOjIxNDc0ODM2NDUsImNJZCI6Mzg3OTYwMjY0Mn0</t>
  </si>
  <si>
    <t>Guardrails specific to New Zealand / BNZ:​
​- NZ data privacy (NZ Privacy Act)
- Data sovereignty (Māori data principals)
- Human-in-the-loop (BNZ ways of working)
- Energy efficiency (Measure and monitor energy use (kWh) of GenAI workload</t>
  </si>
  <si>
    <t>Resposible AI operation data feeds: 
Social impacts data feeds / AI supply chain
Energy efficiency of AI workloads
Carbon emissions for all AI workloads</t>
  </si>
  <si>
    <t>Model size / cost / value recommendations
Model routing and control
Responsible AI reporting
Agentic AI knowldege base
AI workflow optinisation advice</t>
  </si>
  <si>
    <t>AI Type</t>
  </si>
  <si>
    <t>Infrastructure Needs</t>
  </si>
  <si>
    <t>Data Requirements</t>
  </si>
  <si>
    <t>Integration Complexity</t>
  </si>
  <si>
    <t>Deployment Pattern</t>
  </si>
  <si>
    <t>Volume/Scale</t>
  </si>
  <si>
    <t>Licensing Model</t>
  </si>
  <si>
    <t>Maturity/Risk</t>
  </si>
  <si>
    <t>Governance Requirements</t>
  </si>
  <si>
    <t>Yes/No</t>
  </si>
  <si>
    <t>Generative AI (content creation)</t>
  </si>
  <si>
    <t>Cloud API only</t>
  </si>
  <si>
    <t>Uses existing data sources</t>
  </si>
  <si>
    <t>Standalone/minimal integration</t>
  </si>
  <si>
    <t>Real-time inference</t>
  </si>
  <si>
    <t>User count (Low &lt;100, Medium 100-1000, High &gt;1000)</t>
  </si>
  <si>
    <t>Consumption-based (tokens/API calls)</t>
  </si>
  <si>
    <t>Proven/low risk</t>
  </si>
  <si>
    <t>Standard monitoring only</t>
  </si>
  <si>
    <t>Yes</t>
  </si>
  <si>
    <t>Agentic AI (autonomous workflows)</t>
  </si>
  <si>
    <t>Cloud + vector database</t>
  </si>
  <si>
    <t>Needs new data pipelines</t>
  </si>
  <si>
    <t>Moderate (2-5 system touchpoints)</t>
  </si>
  <si>
    <t>Batch processing</t>
  </si>
  <si>
    <t>Usage frequency (Daily, Weekly, On-demand)</t>
  </si>
  <si>
    <t>Seat-based</t>
  </si>
  <si>
    <t>Emerging/medium risk</t>
  </si>
  <si>
    <t>Audit trail required</t>
  </si>
  <si>
    <t>No</t>
  </si>
  <si>
    <t>Predictive/Analytics AI</t>
  </si>
  <si>
    <t>On-premises required</t>
  </si>
  <si>
    <t>Requires fine-tuning datasets</t>
  </si>
  <si>
    <t>High (6+ systems or complex workflows)</t>
  </si>
  <si>
    <t>Hybrid (both)</t>
  </si>
  <si>
    <t>Expected requests per day</t>
  </si>
  <si>
    <t>Bundled in existing license</t>
  </si>
  <si>
    <t>Experimental/high risk</t>
  </si>
  <si>
    <t>Compliance controls needed</t>
  </si>
  <si>
    <t>Unclear</t>
  </si>
  <si>
    <t>Dev/Code AI</t>
  </si>
  <si>
    <t>GPU compute required</t>
  </si>
  <si>
    <t>Real-time data feeds needed</t>
  </si>
  <si>
    <t>Commercial software dependency</t>
  </si>
  <si>
    <t>Open source/self-hosted</t>
  </si>
  <si>
    <t>Human-in-the-loop mandatory</t>
  </si>
  <si>
    <t>Embedded/Vendor AI (in commercial software)</t>
  </si>
  <si>
    <t>Existing infrastructure sufficient</t>
  </si>
  <si>
    <t>Data residency constraints</t>
  </si>
  <si>
    <t>Use case</t>
  </si>
  <si>
    <t>Accenture slide list as of 5/3</t>
  </si>
  <si>
    <t>Accenture slide list as of 14/3</t>
  </si>
  <si>
    <t>FrontLine - service &amp; support enablement</t>
  </si>
  <si>
    <t>Finance reporting &amp; insight generation</t>
  </si>
  <si>
    <t>Lending Operations</t>
  </si>
  <si>
    <t>HyperPersonalisation (Marketing content)</t>
  </si>
  <si>
    <t>Security AI - Remediation Operations, Security &amp; Compliance as Code</t>
  </si>
  <si>
    <t xml:space="preserve">Security AI </t>
  </si>
  <si>
    <t>Security AI - Detection &amp; Response Engineering</t>
  </si>
  <si>
    <t>Data Product creation</t>
  </si>
  <si>
    <t>TDLC - New Dev &amp; Legacy mod</t>
  </si>
  <si>
    <t>Financial crime</t>
  </si>
  <si>
    <t>QA/QC COE</t>
  </si>
  <si>
    <t>NEW</t>
  </si>
  <si>
    <t>Category</t>
  </si>
  <si>
    <t>Use Cases</t>
  </si>
  <si>
    <t>Customer &amp; Relationship Management</t>
  </si>
  <si>
    <t>Finance &amp; Accounting</t>
  </si>
  <si>
    <t>Data &amp; Analytics</t>
  </si>
  <si>
    <t>Risk Management</t>
  </si>
  <si>
    <t>Lending &amp; Credit Operations</t>
  </si>
  <si>
    <t>Marketing &amp; Personalization</t>
  </si>
  <si>
    <t>Customer Service &amp; Support</t>
  </si>
  <si>
    <t>Cybersecurity &amp; Threat Detection</t>
  </si>
  <si>
    <t>Software Development &amp; Engineering</t>
  </si>
  <si>
    <t>Compliance &amp; Financial Crime</t>
  </si>
  <si>
    <t>Quality Assurance &amp; Compliance</t>
  </si>
  <si>
    <t>Fraud Detection &amp; Prevention</t>
  </si>
  <si>
    <t>Customer Onboarding &amp; KYC</t>
  </si>
  <si>
    <t>IT Operations &amp; Service Management</t>
  </si>
  <si>
    <t>Procurement &amp; Supply Chain</t>
  </si>
  <si>
    <t>Payments &amp; Dispute Resolution</t>
  </si>
  <si>
    <t>Audit &amp; Controls Testing</t>
  </si>
  <si>
    <t xml:space="preserve">Lending &amp; Credit Operations
</t>
  </si>
  <si>
    <t>Learning &amp; Development</t>
  </si>
  <si>
    <t>Collections &amp; Recovery</t>
  </si>
  <si>
    <t>Ambiguous / Need More Information</t>
  </si>
  <si>
    <t xml:space="preserve">FTE </t>
  </si>
  <si>
    <t>Dependencies (what needs to be true forthis use case?)</t>
  </si>
  <si>
    <t>AI Type (select)</t>
  </si>
  <si>
    <t>Infrastructure Needs (select)</t>
  </si>
  <si>
    <t>Data Inputs (select)</t>
  </si>
  <si>
    <t>Integration Complexity (select)</t>
  </si>
  <si>
    <t>Deployment Pattern (select)</t>
  </si>
  <si>
    <t>Volume/Scale (select)</t>
  </si>
  <si>
    <t>Licensing Model (select)</t>
  </si>
  <si>
    <t>Maturity/Risk (select)</t>
  </si>
  <si>
    <t>Governance Requirements (select)</t>
  </si>
  <si>
    <t>Desirability? (select)</t>
  </si>
  <si>
    <t>Viability? 
(Is this doable? Select)</t>
  </si>
  <si>
    <t>Feasibility? (descriptive)
(How easily can we do it given what we know?)</t>
  </si>
  <si>
    <t>Salesforce?</t>
  </si>
  <si>
    <t>Assume this includes access to knowledge base (Te Kete).  
SA: having a holistic/central customer interaction history (IH) is critical to all Customer Engagement channels, and C360 is both a 'channel' for data coming from the new MarTech tool and CDH, and provides input to customer IH and lead scoring; I don't envisage there being a need for AI in the context of C360 beyond what functionality may exist already (I am not close enough to C360 to know if/what exists).  SA again: see also comments in row 24.</t>
  </si>
  <si>
    <t>Customer profiles, transaction history, interaction logs, product holdings, financial statements, market data, relationship tenure, communication preferences, calendar/meeting data, CRM records</t>
  </si>
  <si>
    <t>Personalized recommendations, next best action suggestions, customer insights summaries, meeting preparation briefs, relationship health scores, cross-sell/upsell opportunities, automated communication drafts, risk alerts</t>
  </si>
  <si>
    <t>Lending origination
Enterprise Information Management (DocMan)</t>
  </si>
  <si>
    <t xml:space="preserve">We are missing some solution components, unclear yet what is being delivered as part of MarTech stream and what other gaps might be identified along the way. Data ingestion is not mature enough especially if we need real-time processing and decisioning. Unclear requirements around channels impact, how do we plan to surface the hyperpersonalisation? Assumption that much of the decisioning can be handled on the CDH side. Headless content management system might be needed and there are really early steps in looking at the Silverstripe capability in this area. </t>
  </si>
  <si>
    <t>Use of AI to enable fast, consistent and scalable remediation of security defects, vulnerabilities and configuration issues in an efficient and frictionless manner using Ai assisted security policy and compliance as code with the goal of enabling the bank to deliver secure, quality, compliant and reliable code, data and infrastucture.</t>
  </si>
  <si>
    <t xml:space="preserve">
Increase in efficiencies around the delivery of quality, secure and compliant code.
Enhance Developer experience through the reduction of Toil(Security Defects &amp; Vulnerability Fixing) by x%.
Reduction of production vulnerabilities by Y% due to early detection and remediation of defects before production
Increased and continuous assurance in terms of meeting our regulatory and CHF requirements - Evergreen builds.
etc.</t>
  </si>
  <si>
    <t>All Platforms but capabilities built into the Application &amp; Infrastrcture Protection Platform.</t>
  </si>
  <si>
    <t xml:space="preserve">
1) Require Modernisation &amp; Uplift in the foundational capabilities listed in column X
2) Simplification and uplift of the Engineering Automation, Infrastructure Foundations pipelines is key to delivering outcomes
3. DevOps Operating Model (Enterprise Level)</t>
  </si>
  <si>
    <t xml:space="preserve">Requires close collaboration to drive consistent uplift and modernisation across all parties involved in the devlivey of software, data and infra through the various delivery pipelines. The Engineei Engineering Automation &amp; Software + Infra Foundation Platforms are key enablers of outcomes. </t>
  </si>
  <si>
    <t>1. SDLC (App, Cloud/Infra, Data) pipeline context
2. Golden Path patterns
3. Policy Information and Enforcement Data across the development pipelines
4. Business Context</t>
  </si>
  <si>
    <t xml:space="preserve">
1. Risk Based Remediation and Reachability Context
2. Real time SDLC wide Security Posture and Exposure View
3. Defect &amp; Vulnerability Burn Rates
4. Multi Framework Compliance View e.g. CPS 234, CHF, PCI DSS, etc.
5. Team specific self serv dashboards.</t>
  </si>
  <si>
    <t>Reduced threat detection time from hours to minutes; reduction in false positives; Prevented potential losses from cyber attacks; Enhanced regulatory compliance and risk management; Improved security team efficiency.</t>
  </si>
  <si>
    <t xml:space="preserve">1) Require Uplift in Security Observability &amp; Operational Observability.
2) Next Generation SIEM and SOAR uplift is required as a foundational enabler
3. Strong foundations and getting the basics right for Threat Intelligence is key. Current capabilities are immature and not fit for purpose.
4. Investments in enabling orchestration of standardised patterns for detection and response logic across all the key areas is a must invest in (Application, Cloud, Data, Integration, Endpoint &amp; Networking) </t>
  </si>
  <si>
    <r>
      <t xml:space="preserve">Does this differ to Wiz investment?or does it need other end point detection to be in place?  </t>
    </r>
    <r>
      <rPr>
        <sz val="13"/>
        <color rgb="FF002060"/>
        <rFont val="Calibri"/>
        <family val="2"/>
      </rPr>
      <t>" Wiz is only one part of the equation, this needs investments across the various components which makes our detection and response logic i.e. the Application, Cloud, Data, Infrastructure, Integration, Endpoint and Network Detection &amp; Response Layers to ensure that all these layers are fluent in AI and can coherently provide the context(feeds) required to enable the AI aspects to be autonomic in action" Francis. K</t>
    </r>
  </si>
  <si>
    <t>All security logs and context: e.g.  Cloud, Application,  Network traffic logs, endpoint activity, authentication events, firewall logs, SIEM alerts, vulnerability scans, user behavior patterns, threat intelligence feeds, system configurations, access logs, email metadata, DNS queries,etc.</t>
  </si>
  <si>
    <t>Threat detection alerts, risk scores, attack pattern identification, anomaly reports, automated response actions, incident prioritization, threat hunting insights, security posture assessments, remediation recommendations, false positive reduction, IOC lists</t>
  </si>
  <si>
    <t>Github Copilot</t>
  </si>
  <si>
    <t>Huge impact as it will change the way we develop software for our 500+ domain teams</t>
  </si>
  <si>
    <t xml:space="preserve">Need to clarify which QA/QC processes are in scope and across which areas in the organisation, e.g. frontline bankers, banking operations etc
BJS: I actually do not know what QA/QC this is referring to and what the Audit Ready Reports are in this context. Is this related to Internal Audit? Or is this related to Risk via GRACE? </t>
  </si>
  <si>
    <t>Need to confirm which sytems are in scope of the "multiple systems" statement</t>
  </si>
  <si>
    <t>Fenergo/Fenx, Pega Workflow dependencies</t>
  </si>
  <si>
    <t>Backoffice verification, not front office onboarding. Ops CDD/KYC</t>
  </si>
  <si>
    <t>ID documents (passport/license), proof of address, customer application forms, biometric data, credit bureau reports, sanctions/PEP lists, corporate documents, beneficial ownership data, source of funds documentation, risk questionnaires</t>
  </si>
  <si>
    <t>Reduced dispute resolution time; Improved win rates on chargebacks; Enhanced customer satisfaction with faster resolutions; Lower operational costs; Better compliance with card scheme requirements.</t>
  </si>
  <si>
    <t>P&amp;M New Transaction Switch
P&amp;M Payments Refurb</t>
  </si>
  <si>
    <t>Card Issuing
FinCrime &amp; Fraud
Domestic Payments
International Payments
Transaction Switch
Collections &amp; Hardship</t>
  </si>
  <si>
    <t>Learning content prouction</t>
  </si>
  <si>
    <t>Learning modules, quizzes, assessments, training summaries, interactive content, personalized learning paths, video scripts, infographics, knowledge checks, certification materials, progress tracking content, micro-learning nuggets</t>
  </si>
  <si>
    <t>Not enough information to make an informed determination.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</si>
</sst>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b/>
      <sz val="12"/>
      <color theme="1"/>
      <name val="Aptos Narrow"/>
      <family val="2"/>
      <scheme val="minor"/>
    </font>
    <font>
      <sz val="13"/>
      <color theme="1"/>
      <name val="Aptos Narrow"/>
      <family val="2"/>
      <scheme val="minor"/>
    </font>
    <font>
      <sz val="13"/>
      <color theme="1"/>
      <name val="Calibri"/>
      <family val="2"/>
    </font>
    <font>
      <b/>
      <sz val="13"/>
      <color theme="1"/>
      <name val="Calibri"/>
      <family val="2"/>
    </font>
    <font>
      <b/>
      <sz val="13"/>
      <color theme="1"/>
      <name val="Aptos Narrow"/>
      <family val="2"/>
      <scheme val="minor"/>
    </font>
    <font>
      <sz val="12"/>
      <color theme="1"/>
      <name val="Calibri"/>
      <family val="2"/>
    </font>
    <font>
      <b/>
      <sz val="12"/>
      <color theme="1"/>
      <name val="Calibri"/>
      <family val="2"/>
    </font>
    <font>
      <sz val="13"/>
      <color rgb="FF002060"/>
      <name val="Calibri"/>
      <family val="2"/>
    </font>
    <font>
      <sz val="13"/>
      <color rgb="FF000000"/>
      <name val="Calibri"/>
      <family val="2"/>
    </font>
    <font>
      <i/>
      <sz val="13"/>
      <color rgb="FF000000"/>
      <name val="Calibri"/>
      <family val="2"/>
    </font>
    <font>
      <sz val="8"/>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9" tint="0.79998168889431442"/>
        <bgColor indexed="64"/>
      </patternFill>
    </fill>
    <fill>
      <patternFill patternType="solid">
        <fgColor theme="3" tint="0.74999237037263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2">
    <xf numFmtId="0" fontId="0" fillId="0" borderId="0" xfId="0"/>
    <xf numFmtId="0" fontId="1" fillId="0" borderId="0" xfId="0" applyFont="1"/>
    <xf numFmtId="0" fontId="2" fillId="0" borderId="0" xfId="0" applyFont="1" applyAlignment="1">
      <alignment horizontal="left" vertical="top"/>
    </xf>
    <xf numFmtId="0" fontId="3" fillId="0" borderId="0" xfId="0" applyFont="1" applyAlignment="1">
      <alignment horizontal="left" vertical="top" wrapText="1"/>
    </xf>
    <xf numFmtId="0" fontId="3" fillId="0" borderId="0" xfId="0" applyFont="1" applyAlignment="1">
      <alignment horizontal="left" vertical="top"/>
    </xf>
    <xf numFmtId="0" fontId="4" fillId="2" borderId="1" xfId="0" applyFont="1" applyFill="1" applyBorder="1" applyAlignment="1">
      <alignment horizontal="center" vertical="top"/>
    </xf>
    <xf numFmtId="0" fontId="4" fillId="2" borderId="1" xfId="0" applyFont="1" applyFill="1" applyBorder="1" applyAlignment="1">
      <alignment horizontal="left" vertical="top"/>
    </xf>
    <xf numFmtId="0" fontId="4" fillId="2" borderId="1" xfId="0" applyFont="1" applyFill="1" applyBorder="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top"/>
    </xf>
    <xf numFmtId="0" fontId="3" fillId="0" borderId="1" xfId="0" applyFont="1" applyBorder="1" applyAlignment="1">
      <alignment horizontal="center" vertical="top"/>
    </xf>
    <xf numFmtId="0" fontId="2" fillId="0" borderId="0" xfId="0" applyFont="1" applyAlignment="1">
      <alignment horizontal="left" vertical="top" wrapText="1"/>
    </xf>
    <xf numFmtId="0" fontId="0" fillId="0" borderId="0" xfId="0" applyAlignment="1">
      <alignment vertical="top" wrapText="1"/>
    </xf>
    <xf numFmtId="0" fontId="1" fillId="0" borderId="0" xfId="0" applyFont="1" applyAlignment="1">
      <alignment horizontal="center" vertical="top" wrapText="1"/>
    </xf>
    <xf numFmtId="0" fontId="7" fillId="0" borderId="0" xfId="0" applyFont="1" applyAlignment="1">
      <alignment horizontal="left" vertical="top" wrapText="1"/>
    </xf>
    <xf numFmtId="0" fontId="0" fillId="0" borderId="0" xfId="0" applyAlignment="1">
      <alignment horizontal="center" vertical="top" wrapText="1"/>
    </xf>
    <xf numFmtId="0" fontId="5" fillId="0" borderId="0" xfId="0" applyFont="1" applyAlignment="1">
      <alignment horizontal="left" vertical="top" wrapText="1"/>
    </xf>
    <xf numFmtId="0" fontId="0" fillId="0" borderId="0" xfId="0" applyAlignment="1">
      <alignment horizontal="left" vertical="top" wrapText="1"/>
    </xf>
    <xf numFmtId="0" fontId="4" fillId="2" borderId="0" xfId="0" applyFont="1" applyFill="1" applyAlignment="1">
      <alignment horizontal="left" vertical="top"/>
    </xf>
    <xf numFmtId="0" fontId="3" fillId="3" borderId="1" xfId="0" applyFont="1" applyFill="1" applyBorder="1" applyAlignment="1">
      <alignment horizontal="left" vertical="top"/>
    </xf>
    <xf numFmtId="0" fontId="3" fillId="3" borderId="0" xfId="0" applyFont="1" applyFill="1" applyAlignment="1">
      <alignment horizontal="left" vertical="top"/>
    </xf>
    <xf numFmtId="0" fontId="6" fillId="0" borderId="0" xfId="0" applyFont="1" applyAlignment="1">
      <alignment horizontal="left" vertical="top" wrapText="1"/>
    </xf>
    <xf numFmtId="0" fontId="6" fillId="0" borderId="0" xfId="0" applyFont="1" applyAlignment="1">
      <alignment horizontal="center" vertical="top" wrapText="1"/>
    </xf>
    <xf numFmtId="0" fontId="4" fillId="0" borderId="0" xfId="0" applyFont="1" applyAlignment="1">
      <alignment horizontal="center" vertical="top" wrapText="1"/>
    </xf>
    <xf numFmtId="0" fontId="3" fillId="0" borderId="0" xfId="0" applyFont="1" applyAlignment="1">
      <alignment horizontal="center" vertical="top"/>
    </xf>
    <xf numFmtId="0" fontId="4" fillId="2" borderId="0" xfId="0" applyFont="1" applyFill="1" applyAlignment="1">
      <alignment horizontal="center" vertical="top" wrapText="1"/>
    </xf>
    <xf numFmtId="0" fontId="3" fillId="0" borderId="0" xfId="0" applyFont="1" applyAlignment="1">
      <alignment horizontal="center" vertical="top" wrapText="1"/>
    </xf>
    <xf numFmtId="0" fontId="3" fillId="2" borderId="1" xfId="0" applyFont="1" applyFill="1" applyBorder="1" applyAlignment="1">
      <alignment horizontal="left" vertical="top" wrapText="1"/>
    </xf>
    <xf numFmtId="0" fontId="9" fillId="0" borderId="0" xfId="0" applyFont="1" applyAlignment="1">
      <alignment horizontal="left" vertical="top" wrapText="1"/>
    </xf>
    <xf numFmtId="0" fontId="3" fillId="2" borderId="2" xfId="0" applyFont="1" applyFill="1" applyBorder="1" applyAlignment="1">
      <alignment horizontal="left" vertical="top" wrapText="1"/>
    </xf>
    <xf numFmtId="0" fontId="3" fillId="4" borderId="0" xfId="0" applyFont="1" applyFill="1" applyAlignment="1">
      <alignment horizontal="left" vertical="top" wrapText="1"/>
    </xf>
    <xf numFmtId="0" fontId="3" fillId="0" borderId="0" xfId="0" quotePrefix="1" applyFont="1" applyAlignment="1">
      <alignment horizontal="left" vertical="top" wrapText="1"/>
    </xf>
  </cellXfs>
  <cellStyles count="1">
    <cellStyle name="Normal" xfId="0" builtinId="0"/>
  </cellStyles>
  <dxfs count="4">
    <dxf>
      <font>
        <strike val="0"/>
        <outline val="0"/>
        <shadow val="0"/>
        <u val="none"/>
        <vertAlign val="baseline"/>
        <sz val="12"/>
        <color theme="1"/>
      </font>
      <alignment horizontal="center" vertical="top" textRotation="0" wrapText="1" indent="0" justifyLastLine="0" shrinkToFit="0" readingOrder="0"/>
    </dxf>
    <dxf>
      <font>
        <b val="0"/>
        <i val="0"/>
        <strike val="0"/>
        <condense val="0"/>
        <extend val="0"/>
        <outline val="0"/>
        <shadow val="0"/>
        <u val="none"/>
        <vertAlign val="baseline"/>
        <sz val="12"/>
        <color theme="1"/>
        <name val="Calibri"/>
        <family val="2"/>
        <scheme val="none"/>
      </font>
      <alignment horizontal="general" vertical="top" textRotation="0" wrapText="1" indent="0" justifyLastLine="0" shrinkToFit="0" readingOrder="0"/>
    </dxf>
    <dxf>
      <font>
        <strike val="0"/>
        <outline val="0"/>
        <shadow val="0"/>
        <u val="none"/>
        <vertAlign val="baseline"/>
        <sz val="12"/>
        <color theme="1"/>
      </font>
      <alignment vertical="top" textRotation="0" wrapText="1" justifyLastLine="0" shrinkToFit="0" readingOrder="0"/>
    </dxf>
    <dxf>
      <font>
        <strike val="0"/>
        <outline val="0"/>
        <shadow val="0"/>
        <u val="none"/>
        <vertAlign val="baseline"/>
        <sz val="12"/>
        <color theme="1"/>
      </font>
      <alignment vertical="top" textRotation="0" wrapTex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40D736-7247-4AE0-AB57-ED9903A044F1}" name="Table1" displayName="Table1" ref="A1:B21" totalsRowShown="0" headerRowDxfId="3" dataDxfId="2">
  <autoFilter ref="A1:B21" xr:uid="{6B40D736-7247-4AE0-AB57-ED9903A044F1}"/>
  <tableColumns count="2">
    <tableColumn id="1" xr3:uid="{52833D49-4BAA-4509-B9DB-E73A6197530E}" name="Category" dataDxfId="1"/>
    <tableColumn id="2" xr3:uid="{D9BB3B75-59B0-4B5B-8B4C-6747497C8E47}" name="Use Cases" dataDxfId="0">
      <calculatedColumnFormula>COUNTIF(AA!#REF!,Categories!A2)</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EFAE0-D78C-A444-924A-EEB2AC260594}">
  <dimension ref="A1:Q26"/>
  <sheetViews>
    <sheetView tabSelected="1" zoomScale="90" zoomScaleNormal="70" workbookViewId="0">
      <pane xSplit="3" ySplit="1" topLeftCell="I2" activePane="bottomRight" state="frozen"/>
      <selection pane="topRight" activeCell="D1" sqref="D1"/>
      <selection pane="bottomLeft" activeCell="A3" sqref="A3"/>
      <selection pane="bottomRight" activeCell="I2" sqref="I2"/>
    </sheetView>
  </sheetViews>
  <sheetFormatPr defaultColWidth="10.875" defaultRowHeight="17.25" x14ac:dyDescent="0.25"/>
  <cols>
    <col min="1" max="1" width="9" style="24" bestFit="1" customWidth="1"/>
    <col min="2" max="2" width="29.625" style="3" bestFit="1" customWidth="1"/>
    <col min="3" max="3" width="63.625" style="4" bestFit="1" customWidth="1"/>
    <col min="4" max="4" width="24.625" style="4" customWidth="1"/>
    <col min="5" max="5" width="59.125" style="3" bestFit="1" customWidth="1"/>
    <col min="6" max="6" width="22.625" style="22" hidden="1" customWidth="1"/>
    <col min="7" max="7" width="38.375" style="2" hidden="1" customWidth="1"/>
    <col min="8" max="8" width="44" style="2" hidden="1" customWidth="1"/>
    <col min="9" max="9" width="49.625" style="3" bestFit="1" customWidth="1"/>
    <col min="10" max="10" width="68.875" style="3" bestFit="1" customWidth="1"/>
    <col min="11" max="11" width="46.875" style="3" bestFit="1" customWidth="1"/>
    <col min="12" max="12" width="16.375" style="3" hidden="1" customWidth="1"/>
    <col min="13" max="13" width="50.125" style="3" bestFit="1" customWidth="1"/>
    <col min="14" max="14" width="10.875" style="3" bestFit="1" customWidth="1"/>
    <col min="15" max="17" width="10.875" style="3"/>
    <col min="18" max="16384" width="10.875" style="4"/>
  </cols>
  <sheetData>
    <row r="1" spans="1:17" s="9" customFormat="1" ht="46.5" customHeight="1" x14ac:dyDescent="0.25">
      <c r="A1" s="5" t="s">
        <v>0</v>
      </c>
      <c r="B1" s="7" t="s">
        <v>1</v>
      </c>
      <c r="C1" s="7" t="s">
        <v>2</v>
      </c>
      <c r="D1" s="9" t="s">
        <v>3</v>
      </c>
      <c r="E1" s="8" t="s">
        <v>4</v>
      </c>
      <c r="F1" s="23" t="s">
        <v>5</v>
      </c>
      <c r="G1" s="8" t="s">
        <v>6</v>
      </c>
      <c r="H1" s="8" t="s">
        <v>7</v>
      </c>
      <c r="I1" s="8" t="s">
        <v>8</v>
      </c>
      <c r="J1" s="8" t="s">
        <v>9</v>
      </c>
      <c r="K1" s="8" t="s">
        <v>10</v>
      </c>
      <c r="L1" s="16" t="s">
        <v>11</v>
      </c>
      <c r="M1" s="8" t="s">
        <v>12</v>
      </c>
      <c r="N1" s="8"/>
      <c r="O1" s="8"/>
      <c r="P1" s="8"/>
      <c r="Q1" s="8"/>
    </row>
    <row r="2" spans="1:17" ht="276" x14ac:dyDescent="0.25">
      <c r="A2" s="10">
        <v>1</v>
      </c>
      <c r="B2" s="27" t="s">
        <v>13</v>
      </c>
      <c r="C2" s="27" t="s">
        <v>14</v>
      </c>
      <c r="D2" s="3" t="s">
        <v>15</v>
      </c>
      <c r="E2" s="3" t="s">
        <v>16</v>
      </c>
      <c r="F2" s="22" t="s">
        <v>17</v>
      </c>
      <c r="G2" s="11" t="s">
        <v>18</v>
      </c>
      <c r="H2" s="11" t="s">
        <v>19</v>
      </c>
      <c r="I2" s="31" t="s">
        <v>20</v>
      </c>
      <c r="J2" s="3" t="s">
        <v>21</v>
      </c>
      <c r="K2" s="3" t="s">
        <v>22</v>
      </c>
      <c r="L2" s="17"/>
      <c r="M2" s="3" t="s">
        <v>23</v>
      </c>
    </row>
    <row r="3" spans="1:17" ht="155.25" x14ac:dyDescent="0.25">
      <c r="A3" s="10">
        <v>2</v>
      </c>
      <c r="B3" s="27" t="s">
        <v>24</v>
      </c>
      <c r="C3" s="27" t="s">
        <v>25</v>
      </c>
      <c r="D3" s="3" t="s">
        <v>26</v>
      </c>
      <c r="E3" s="3" t="s">
        <v>27</v>
      </c>
      <c r="F3" s="22" t="s">
        <v>17</v>
      </c>
      <c r="G3" s="3" t="s">
        <v>28</v>
      </c>
      <c r="H3" s="3" t="s">
        <v>29</v>
      </c>
      <c r="I3" s="3" t="s">
        <v>30</v>
      </c>
      <c r="J3" s="3" t="s">
        <v>31</v>
      </c>
      <c r="K3" s="3" t="s">
        <v>32</v>
      </c>
      <c r="L3" s="17"/>
      <c r="M3" s="3" t="s">
        <v>33</v>
      </c>
    </row>
    <row r="4" spans="1:17" ht="86.25" x14ac:dyDescent="0.25">
      <c r="A4" s="10">
        <v>3</v>
      </c>
      <c r="B4" s="27" t="s">
        <v>34</v>
      </c>
      <c r="C4" s="27" t="s">
        <v>35</v>
      </c>
      <c r="D4" s="4" t="s">
        <v>36</v>
      </c>
      <c r="E4" s="3" t="s">
        <v>37</v>
      </c>
      <c r="F4" s="22" t="s">
        <v>17</v>
      </c>
      <c r="G4" s="2" t="s">
        <v>38</v>
      </c>
      <c r="H4" s="11" t="s">
        <v>39</v>
      </c>
      <c r="I4" s="3" t="s">
        <v>40</v>
      </c>
      <c r="K4" s="3" t="s">
        <v>41</v>
      </c>
      <c r="L4" s="17"/>
      <c r="M4" s="3" t="s">
        <v>42</v>
      </c>
    </row>
    <row r="5" spans="1:17" ht="103.5" x14ac:dyDescent="0.25">
      <c r="A5" s="10">
        <v>4</v>
      </c>
      <c r="B5" s="27" t="s">
        <v>43</v>
      </c>
      <c r="C5" s="27" t="s">
        <v>44</v>
      </c>
      <c r="D5" s="4" t="s">
        <v>45</v>
      </c>
      <c r="E5" s="3" t="s">
        <v>46</v>
      </c>
      <c r="F5" s="22" t="s">
        <v>17</v>
      </c>
      <c r="G5" s="2" t="s">
        <v>47</v>
      </c>
      <c r="H5" s="11" t="s">
        <v>48</v>
      </c>
      <c r="J5" s="3" t="s">
        <v>49</v>
      </c>
      <c r="K5" s="3" t="s">
        <v>50</v>
      </c>
      <c r="L5" s="17"/>
      <c r="M5" s="3" t="s">
        <v>51</v>
      </c>
    </row>
    <row r="6" spans="1:17" ht="86.25" x14ac:dyDescent="0.25">
      <c r="A6" s="10">
        <v>5</v>
      </c>
      <c r="B6" s="27" t="s">
        <v>52</v>
      </c>
      <c r="C6" s="27" t="s">
        <v>53</v>
      </c>
      <c r="D6" s="4" t="s">
        <v>54</v>
      </c>
      <c r="E6" s="3" t="s">
        <v>55</v>
      </c>
      <c r="F6" s="22" t="s">
        <v>17</v>
      </c>
      <c r="G6" s="11" t="s">
        <v>56</v>
      </c>
      <c r="H6" s="11" t="s">
        <v>57</v>
      </c>
      <c r="K6" s="3" t="s">
        <v>58</v>
      </c>
      <c r="L6" s="17"/>
      <c r="M6" s="3" t="s">
        <v>59</v>
      </c>
    </row>
    <row r="7" spans="1:17" ht="207" x14ac:dyDescent="0.25">
      <c r="A7" s="10">
        <v>6</v>
      </c>
      <c r="B7" s="27" t="s">
        <v>60</v>
      </c>
      <c r="C7" s="27" t="s">
        <v>61</v>
      </c>
      <c r="D7" s="3" t="s">
        <v>62</v>
      </c>
      <c r="E7" s="3" t="s">
        <v>63</v>
      </c>
      <c r="F7" s="22" t="s">
        <v>17</v>
      </c>
      <c r="G7" s="11" t="s">
        <v>18</v>
      </c>
      <c r="H7" s="11" t="s">
        <v>64</v>
      </c>
      <c r="I7" s="3" t="s">
        <v>65</v>
      </c>
      <c r="J7" s="3" t="s">
        <v>66</v>
      </c>
      <c r="K7" s="3" t="s">
        <v>67</v>
      </c>
      <c r="L7" s="17" t="s">
        <v>68</v>
      </c>
      <c r="M7" s="3" t="s">
        <v>69</v>
      </c>
    </row>
    <row r="8" spans="1:17" ht="86.25" x14ac:dyDescent="0.25">
      <c r="A8" s="10">
        <v>7</v>
      </c>
      <c r="B8" s="27" t="s">
        <v>70</v>
      </c>
      <c r="C8" s="27" t="s">
        <v>71</v>
      </c>
      <c r="D8" s="4" t="s">
        <v>72</v>
      </c>
      <c r="E8" s="3" t="s">
        <v>73</v>
      </c>
      <c r="F8" s="22" t="s">
        <v>17</v>
      </c>
      <c r="G8" s="2" t="s">
        <v>74</v>
      </c>
      <c r="H8" s="2" t="s">
        <v>75</v>
      </c>
      <c r="I8" s="3" t="s">
        <v>76</v>
      </c>
      <c r="J8" s="3" t="s">
        <v>77</v>
      </c>
      <c r="K8" s="3" t="s">
        <v>78</v>
      </c>
      <c r="L8" s="17" t="s">
        <v>68</v>
      </c>
      <c r="M8" s="3" t="s">
        <v>79</v>
      </c>
    </row>
    <row r="9" spans="1:17" ht="379.5" x14ac:dyDescent="0.25">
      <c r="A9" s="10">
        <v>8</v>
      </c>
      <c r="B9" s="27" t="s">
        <v>80</v>
      </c>
      <c r="C9" s="27" t="s">
        <v>81</v>
      </c>
      <c r="D9" s="3" t="s">
        <v>82</v>
      </c>
      <c r="E9" s="3" t="s">
        <v>83</v>
      </c>
      <c r="F9" s="22" t="s">
        <v>17</v>
      </c>
      <c r="G9" s="2" t="s">
        <v>84</v>
      </c>
      <c r="H9" s="11" t="s">
        <v>85</v>
      </c>
      <c r="I9" s="3" t="s">
        <v>86</v>
      </c>
      <c r="J9" s="3" t="s">
        <v>87</v>
      </c>
      <c r="K9" s="3" t="s">
        <v>88</v>
      </c>
      <c r="L9" s="17" t="s">
        <v>68</v>
      </c>
      <c r="M9" s="3" t="s">
        <v>89</v>
      </c>
    </row>
    <row r="10" spans="1:17" ht="86.25" x14ac:dyDescent="0.25">
      <c r="A10" s="10">
        <v>9</v>
      </c>
      <c r="B10" s="27" t="s">
        <v>90</v>
      </c>
      <c r="C10" s="27" t="s">
        <v>91</v>
      </c>
      <c r="D10" s="4" t="s">
        <v>36</v>
      </c>
      <c r="E10" s="3" t="s">
        <v>92</v>
      </c>
      <c r="F10" s="22" t="s">
        <v>17</v>
      </c>
      <c r="G10" s="2" t="s">
        <v>38</v>
      </c>
      <c r="H10" s="11" t="s">
        <v>93</v>
      </c>
      <c r="I10" s="3" t="s">
        <v>94</v>
      </c>
      <c r="J10" s="3" t="s">
        <v>95</v>
      </c>
      <c r="K10" s="3" t="s">
        <v>96</v>
      </c>
      <c r="L10" s="17"/>
      <c r="M10" s="3" t="s">
        <v>97</v>
      </c>
    </row>
    <row r="11" spans="1:17" ht="207" x14ac:dyDescent="0.25">
      <c r="A11" s="10">
        <v>10</v>
      </c>
      <c r="B11" s="27" t="s">
        <v>98</v>
      </c>
      <c r="C11" s="27" t="s">
        <v>99</v>
      </c>
      <c r="D11" s="4" t="s">
        <v>100</v>
      </c>
      <c r="E11" s="3" t="s">
        <v>101</v>
      </c>
      <c r="F11" s="22" t="s">
        <v>17</v>
      </c>
      <c r="G11" s="2" t="s">
        <v>102</v>
      </c>
      <c r="H11" s="11" t="s">
        <v>103</v>
      </c>
      <c r="I11" s="3" t="s">
        <v>104</v>
      </c>
      <c r="J11" s="3" t="s">
        <v>105</v>
      </c>
      <c r="K11" s="3" t="s">
        <v>106</v>
      </c>
      <c r="L11" s="17"/>
      <c r="M11" s="3" t="s">
        <v>107</v>
      </c>
    </row>
    <row r="12" spans="1:17" ht="207" x14ac:dyDescent="0.25">
      <c r="A12" s="10">
        <v>11</v>
      </c>
      <c r="B12" s="27" t="s">
        <v>108</v>
      </c>
      <c r="C12" s="27" t="s">
        <v>109</v>
      </c>
      <c r="D12" s="4" t="s">
        <v>110</v>
      </c>
      <c r="E12" s="3" t="s">
        <v>111</v>
      </c>
      <c r="F12" s="22" t="s">
        <v>17</v>
      </c>
      <c r="G12" s="11" t="s">
        <v>112</v>
      </c>
      <c r="H12" s="11" t="s">
        <v>113</v>
      </c>
      <c r="I12" s="3" t="s">
        <v>114</v>
      </c>
      <c r="J12" s="3" t="s">
        <v>115</v>
      </c>
      <c r="K12" s="3" t="s">
        <v>116</v>
      </c>
      <c r="L12" s="17"/>
      <c r="M12" s="3" t="s">
        <v>117</v>
      </c>
    </row>
    <row r="13" spans="1:17" ht="120.75" x14ac:dyDescent="0.25">
      <c r="A13" s="10">
        <v>12</v>
      </c>
      <c r="B13" s="27" t="s">
        <v>118</v>
      </c>
      <c r="C13" s="27" t="s">
        <v>119</v>
      </c>
      <c r="D13" s="3" t="s">
        <v>120</v>
      </c>
      <c r="E13" s="3" t="s">
        <v>121</v>
      </c>
      <c r="F13" s="22" t="s">
        <v>122</v>
      </c>
      <c r="G13" s="2" t="s">
        <v>102</v>
      </c>
      <c r="H13" s="11" t="s">
        <v>123</v>
      </c>
      <c r="J13" s="3" t="s">
        <v>124</v>
      </c>
      <c r="K13" s="3" t="s">
        <v>125</v>
      </c>
      <c r="L13" s="17"/>
      <c r="M13" s="3" t="s">
        <v>126</v>
      </c>
    </row>
    <row r="14" spans="1:17" ht="138" x14ac:dyDescent="0.25">
      <c r="A14" s="10">
        <v>13</v>
      </c>
      <c r="B14" s="27" t="s">
        <v>127</v>
      </c>
      <c r="C14" s="27" t="s">
        <v>128</v>
      </c>
      <c r="D14" s="4" t="s">
        <v>110</v>
      </c>
      <c r="E14" s="3" t="s">
        <v>129</v>
      </c>
      <c r="F14" s="22" t="s">
        <v>17</v>
      </c>
      <c r="G14" s="11" t="s">
        <v>112</v>
      </c>
      <c r="H14" s="11" t="s">
        <v>130</v>
      </c>
      <c r="I14" s="3" t="s">
        <v>131</v>
      </c>
      <c r="J14" s="3" t="s">
        <v>132</v>
      </c>
      <c r="K14" s="3" t="s">
        <v>133</v>
      </c>
      <c r="L14" s="17"/>
      <c r="M14" s="3" t="s">
        <v>134</v>
      </c>
    </row>
    <row r="15" spans="1:17" ht="258.75" x14ac:dyDescent="0.25">
      <c r="A15" s="10">
        <v>14</v>
      </c>
      <c r="B15" s="27" t="s">
        <v>135</v>
      </c>
      <c r="C15" s="27" t="s">
        <v>136</v>
      </c>
      <c r="D15" s="4" t="s">
        <v>137</v>
      </c>
      <c r="E15" s="3" t="s">
        <v>138</v>
      </c>
      <c r="F15" s="22" t="s">
        <v>17</v>
      </c>
      <c r="G15" s="11" t="s">
        <v>139</v>
      </c>
      <c r="H15" s="11" t="s">
        <v>140</v>
      </c>
      <c r="I15" s="3" t="s">
        <v>141</v>
      </c>
      <c r="J15" s="3" t="s">
        <v>142</v>
      </c>
      <c r="K15" s="3" t="s">
        <v>143</v>
      </c>
      <c r="L15" s="17"/>
      <c r="M15" s="3" t="s">
        <v>144</v>
      </c>
    </row>
    <row r="16" spans="1:17" ht="103.5" x14ac:dyDescent="0.25">
      <c r="A16" s="10">
        <v>15</v>
      </c>
      <c r="B16" s="27" t="s">
        <v>145</v>
      </c>
      <c r="C16" s="27" t="s">
        <v>146</v>
      </c>
      <c r="D16" s="4" t="s">
        <v>147</v>
      </c>
      <c r="E16" s="3" t="s">
        <v>148</v>
      </c>
      <c r="F16" s="22" t="s">
        <v>17</v>
      </c>
      <c r="G16" s="2" t="s">
        <v>102</v>
      </c>
      <c r="H16" s="11" t="s">
        <v>149</v>
      </c>
      <c r="I16" s="3" t="s">
        <v>366</v>
      </c>
      <c r="K16" s="3" t="s">
        <v>150</v>
      </c>
      <c r="L16" s="17"/>
      <c r="M16" s="3" t="s">
        <v>151</v>
      </c>
    </row>
    <row r="17" spans="1:13" ht="103.5" x14ac:dyDescent="0.25">
      <c r="A17" s="10">
        <v>16</v>
      </c>
      <c r="B17" s="27" t="s">
        <v>152</v>
      </c>
      <c r="C17" s="27" t="s">
        <v>153</v>
      </c>
      <c r="D17" s="4" t="s">
        <v>154</v>
      </c>
      <c r="E17" s="3" t="s">
        <v>155</v>
      </c>
      <c r="F17" s="22" t="s">
        <v>17</v>
      </c>
      <c r="G17" s="2" t="s">
        <v>102</v>
      </c>
      <c r="H17" s="11" t="s">
        <v>156</v>
      </c>
      <c r="I17" s="3" t="s">
        <v>366</v>
      </c>
      <c r="K17" s="3" t="s">
        <v>157</v>
      </c>
      <c r="L17" s="17"/>
      <c r="M17" s="3" t="s">
        <v>158</v>
      </c>
    </row>
    <row r="18" spans="1:13" ht="108" customHeight="1" x14ac:dyDescent="0.25">
      <c r="A18" s="10">
        <v>17</v>
      </c>
      <c r="B18" s="27" t="s">
        <v>159</v>
      </c>
      <c r="C18" s="27" t="s">
        <v>14</v>
      </c>
      <c r="D18" s="4" t="s">
        <v>160</v>
      </c>
      <c r="E18" s="3" t="s">
        <v>161</v>
      </c>
      <c r="F18" s="22" t="s">
        <v>17</v>
      </c>
      <c r="G18" s="2" t="s">
        <v>102</v>
      </c>
      <c r="H18" s="11" t="s">
        <v>162</v>
      </c>
      <c r="I18" s="31" t="s">
        <v>163</v>
      </c>
      <c r="J18" s="3" t="s">
        <v>164</v>
      </c>
      <c r="K18" s="3" t="s">
        <v>165</v>
      </c>
      <c r="L18" s="17"/>
      <c r="M18" s="3" t="s">
        <v>166</v>
      </c>
    </row>
    <row r="19" spans="1:13" ht="138" x14ac:dyDescent="0.25">
      <c r="A19" s="10">
        <v>18</v>
      </c>
      <c r="B19" s="27" t="s">
        <v>167</v>
      </c>
      <c r="C19" s="27" t="s">
        <v>168</v>
      </c>
      <c r="D19" s="4" t="s">
        <v>169</v>
      </c>
      <c r="E19" s="3" t="s">
        <v>170</v>
      </c>
      <c r="F19" s="22" t="s">
        <v>122</v>
      </c>
      <c r="G19" s="11" t="s">
        <v>171</v>
      </c>
      <c r="H19" s="11" t="s">
        <v>172</v>
      </c>
      <c r="I19" s="3" t="s">
        <v>366</v>
      </c>
      <c r="J19" s="3" t="s">
        <v>173</v>
      </c>
      <c r="K19" s="3" t="s">
        <v>174</v>
      </c>
      <c r="L19" s="17"/>
      <c r="M19" s="3" t="s">
        <v>175</v>
      </c>
    </row>
    <row r="20" spans="1:13" ht="103.5" x14ac:dyDescent="0.25">
      <c r="A20" s="10">
        <v>19</v>
      </c>
      <c r="B20" s="27" t="s">
        <v>176</v>
      </c>
      <c r="C20" s="27" t="s">
        <v>177</v>
      </c>
      <c r="D20" s="4" t="s">
        <v>178</v>
      </c>
      <c r="E20" s="3" t="s">
        <v>179</v>
      </c>
      <c r="F20" s="22" t="s">
        <v>122</v>
      </c>
      <c r="G20" s="11" t="s">
        <v>180</v>
      </c>
      <c r="H20" s="11" t="s">
        <v>181</v>
      </c>
      <c r="I20" s="3" t="s">
        <v>182</v>
      </c>
      <c r="J20" s="3" t="s">
        <v>183</v>
      </c>
      <c r="K20" s="3" t="s">
        <v>184</v>
      </c>
      <c r="L20" s="17"/>
      <c r="M20" s="3" t="s">
        <v>185</v>
      </c>
    </row>
    <row r="21" spans="1:13" ht="86.25" x14ac:dyDescent="0.25">
      <c r="A21" s="10">
        <v>20</v>
      </c>
      <c r="B21" s="27" t="s">
        <v>186</v>
      </c>
      <c r="C21" s="27"/>
      <c r="D21" s="3" t="s">
        <v>187</v>
      </c>
      <c r="E21" s="3" t="s">
        <v>188</v>
      </c>
      <c r="F21" s="22" t="s">
        <v>122</v>
      </c>
      <c r="G21" s="3" t="s">
        <v>187</v>
      </c>
      <c r="H21" s="3" t="s">
        <v>187</v>
      </c>
      <c r="I21" s="3" t="s">
        <v>366</v>
      </c>
      <c r="J21" s="3" t="s">
        <v>189</v>
      </c>
      <c r="K21" s="3" t="s">
        <v>190</v>
      </c>
      <c r="L21" s="17"/>
      <c r="M21" s="3" t="s">
        <v>191</v>
      </c>
    </row>
    <row r="22" spans="1:13" ht="103.5" x14ac:dyDescent="0.25">
      <c r="A22" s="10">
        <v>21</v>
      </c>
      <c r="B22" s="27" t="s">
        <v>192</v>
      </c>
      <c r="C22" s="27" t="s">
        <v>193</v>
      </c>
      <c r="D22" s="4" t="s">
        <v>194</v>
      </c>
      <c r="E22" s="3" t="s">
        <v>195</v>
      </c>
      <c r="F22" s="22" t="s">
        <v>17</v>
      </c>
      <c r="G22" s="2" t="s">
        <v>102</v>
      </c>
      <c r="H22" s="11" t="s">
        <v>196</v>
      </c>
      <c r="I22" s="3" t="s">
        <v>366</v>
      </c>
      <c r="J22" s="3" t="s">
        <v>197</v>
      </c>
      <c r="K22" s="3" t="s">
        <v>198</v>
      </c>
      <c r="L22" s="17"/>
      <c r="M22" s="3" t="s">
        <v>199</v>
      </c>
    </row>
    <row r="23" spans="1:13" ht="103.5" x14ac:dyDescent="0.25">
      <c r="A23" s="10">
        <v>22</v>
      </c>
      <c r="B23" s="27" t="s">
        <v>200</v>
      </c>
      <c r="C23" s="27" t="s">
        <v>201</v>
      </c>
      <c r="D23" s="4" t="s">
        <v>202</v>
      </c>
      <c r="E23" s="3" t="s">
        <v>203</v>
      </c>
      <c r="F23" s="22" t="s">
        <v>122</v>
      </c>
      <c r="G23" s="2" t="s">
        <v>102</v>
      </c>
      <c r="H23" s="11" t="s">
        <v>204</v>
      </c>
      <c r="I23" s="3" t="s">
        <v>205</v>
      </c>
      <c r="J23" s="3" t="s">
        <v>206</v>
      </c>
      <c r="K23" s="3" t="s">
        <v>207</v>
      </c>
      <c r="L23" s="17"/>
      <c r="M23" s="3" t="s">
        <v>208</v>
      </c>
    </row>
    <row r="24" spans="1:13" ht="103.5" x14ac:dyDescent="0.25">
      <c r="A24" s="10">
        <v>23</v>
      </c>
      <c r="B24" s="27" t="s">
        <v>209</v>
      </c>
      <c r="C24" s="27" t="s">
        <v>210</v>
      </c>
      <c r="D24" s="4" t="s">
        <v>45</v>
      </c>
      <c r="E24" s="3" t="s">
        <v>211</v>
      </c>
      <c r="F24" s="22" t="s">
        <v>122</v>
      </c>
      <c r="G24" s="2" t="s">
        <v>212</v>
      </c>
      <c r="H24" s="11" t="s">
        <v>213</v>
      </c>
      <c r="I24" s="3" t="s">
        <v>366</v>
      </c>
      <c r="J24" s="3" t="s">
        <v>214</v>
      </c>
      <c r="K24" s="3" t="s">
        <v>215</v>
      </c>
      <c r="L24" s="17"/>
      <c r="M24" s="3" t="s">
        <v>216</v>
      </c>
    </row>
    <row r="25" spans="1:13" ht="224.25" x14ac:dyDescent="0.25">
      <c r="A25" s="10">
        <v>24</v>
      </c>
      <c r="B25" s="27" t="s">
        <v>217</v>
      </c>
      <c r="C25" s="27" t="s">
        <v>218</v>
      </c>
      <c r="D25" s="3" t="s">
        <v>219</v>
      </c>
      <c r="E25" s="3" t="s">
        <v>220</v>
      </c>
      <c r="F25" s="22" t="s">
        <v>17</v>
      </c>
      <c r="G25" s="11" t="s">
        <v>221</v>
      </c>
      <c r="H25" s="11" t="s">
        <v>222</v>
      </c>
      <c r="I25" s="3" t="s">
        <v>223</v>
      </c>
      <c r="J25" s="28" t="s">
        <v>224</v>
      </c>
      <c r="K25" s="3" t="s">
        <v>225</v>
      </c>
      <c r="L25" s="17" t="s">
        <v>68</v>
      </c>
      <c r="M25" s="3" t="s">
        <v>226</v>
      </c>
    </row>
    <row r="26" spans="1:13" ht="103.5" x14ac:dyDescent="0.25">
      <c r="A26" s="24">
        <v>25</v>
      </c>
      <c r="B26" s="30" t="s">
        <v>227</v>
      </c>
      <c r="C26" s="30" t="s">
        <v>228</v>
      </c>
      <c r="E26" s="3" t="s">
        <v>229</v>
      </c>
      <c r="F26" s="22" t="s">
        <v>17</v>
      </c>
      <c r="G26" s="2" t="s">
        <v>230</v>
      </c>
      <c r="H26" s="11" t="s">
        <v>231</v>
      </c>
      <c r="I26" s="3" t="s">
        <v>232</v>
      </c>
      <c r="K26" s="3" t="s">
        <v>233</v>
      </c>
      <c r="M26" s="3" t="s">
        <v>234</v>
      </c>
    </row>
  </sheetData>
  <sheetProtection formatCells="0" formatRows="0" sort="0" autoFilter="0" pivotTables="0"/>
  <autoFilter ref="A1:M26" xr:uid="{45EEFAE0-D78C-A444-924A-EEB2AC260594}"/>
  <pageMargins left="0.7" right="0.7" top="0.75" bottom="0.75" header="0.3" footer="0.3"/>
  <headerFooter>
    <oddHeader>&amp;C&amp;"Aptos"&amp;10&amp;K000000 CONFIDENTIAL&amp;1#_x000D_</oddHeader>
    <oddFooter>&amp;C_x000D_&amp;1#&amp;"Aptos"&amp;10&amp;K000000 CONFIDENTIAL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24A225BF-3D32-4221-B405-9BB166C84293}">
          <x14:formula1>
            <xm:f>Lists!$D$2:$D$7</xm:f>
          </x14:formula1>
          <xm:sqref>L2:L25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96FDD-402E-4979-95D7-1DD0D806F772}">
  <dimension ref="B1:K7"/>
  <sheetViews>
    <sheetView topLeftCell="F1" workbookViewId="0">
      <selection activeCell="A6" sqref="A6"/>
    </sheetView>
  </sheetViews>
  <sheetFormatPr defaultColWidth="8.875" defaultRowHeight="15.75" x14ac:dyDescent="0.25"/>
  <cols>
    <col min="2" max="2" width="38.375" bestFit="1" customWidth="1"/>
    <col min="3" max="3" width="26.125" bestFit="1" customWidth="1"/>
    <col min="4" max="4" width="24.125" bestFit="1" customWidth="1"/>
    <col min="5" max="5" width="33.125" bestFit="1" customWidth="1"/>
    <col min="6" max="6" width="17.625" bestFit="1" customWidth="1"/>
    <col min="7" max="7" width="44.125" bestFit="1" customWidth="1"/>
    <col min="8" max="8" width="31.875" bestFit="1" customWidth="1"/>
    <col min="9" max="9" width="18.625" bestFit="1" customWidth="1"/>
    <col min="10" max="10" width="25.125" bestFit="1" customWidth="1"/>
  </cols>
  <sheetData>
    <row r="1" spans="2:11" s="1" customFormat="1" x14ac:dyDescent="0.25">
      <c r="B1" s="1" t="s">
        <v>235</v>
      </c>
      <c r="C1" s="1" t="s">
        <v>236</v>
      </c>
      <c r="D1" s="1" t="s">
        <v>237</v>
      </c>
      <c r="E1" s="1" t="s">
        <v>238</v>
      </c>
      <c r="F1" s="1" t="s">
        <v>239</v>
      </c>
      <c r="G1" s="1" t="s">
        <v>240</v>
      </c>
      <c r="H1" s="1" t="s">
        <v>241</v>
      </c>
      <c r="I1" s="1" t="s">
        <v>242</v>
      </c>
      <c r="J1" s="1" t="s">
        <v>243</v>
      </c>
      <c r="K1" s="1" t="s">
        <v>244</v>
      </c>
    </row>
    <row r="2" spans="2:11" x14ac:dyDescent="0.25">
      <c r="B2" t="s">
        <v>245</v>
      </c>
      <c r="C2" t="s">
        <v>246</v>
      </c>
      <c r="D2" t="s">
        <v>247</v>
      </c>
      <c r="E2" t="s">
        <v>248</v>
      </c>
      <c r="F2" t="s">
        <v>249</v>
      </c>
      <c r="G2" t="s">
        <v>250</v>
      </c>
      <c r="H2" t="s">
        <v>251</v>
      </c>
      <c r="I2" t="s">
        <v>252</v>
      </c>
      <c r="J2" t="s">
        <v>253</v>
      </c>
      <c r="K2" t="s">
        <v>254</v>
      </c>
    </row>
    <row r="3" spans="2:11" x14ac:dyDescent="0.25">
      <c r="B3" t="s">
        <v>255</v>
      </c>
      <c r="C3" t="s">
        <v>256</v>
      </c>
      <c r="D3" t="s">
        <v>257</v>
      </c>
      <c r="E3" t="s">
        <v>258</v>
      </c>
      <c r="F3" t="s">
        <v>259</v>
      </c>
      <c r="G3" t="s">
        <v>260</v>
      </c>
      <c r="H3" t="s">
        <v>261</v>
      </c>
      <c r="I3" t="s">
        <v>262</v>
      </c>
      <c r="J3" t="s">
        <v>263</v>
      </c>
      <c r="K3" t="s">
        <v>264</v>
      </c>
    </row>
    <row r="4" spans="2:11" x14ac:dyDescent="0.25">
      <c r="B4" t="s">
        <v>265</v>
      </c>
      <c r="C4" t="s">
        <v>266</v>
      </c>
      <c r="D4" t="s">
        <v>267</v>
      </c>
      <c r="E4" t="s">
        <v>268</v>
      </c>
      <c r="F4" t="s">
        <v>269</v>
      </c>
      <c r="G4" t="s">
        <v>270</v>
      </c>
      <c r="H4" t="s">
        <v>271</v>
      </c>
      <c r="I4" t="s">
        <v>272</v>
      </c>
      <c r="J4" t="s">
        <v>273</v>
      </c>
      <c r="K4" t="s">
        <v>274</v>
      </c>
    </row>
    <row r="5" spans="2:11" x14ac:dyDescent="0.25">
      <c r="B5" t="s">
        <v>275</v>
      </c>
      <c r="C5" t="s">
        <v>276</v>
      </c>
      <c r="D5" t="s">
        <v>277</v>
      </c>
      <c r="E5" t="s">
        <v>278</v>
      </c>
      <c r="F5" t="s">
        <v>68</v>
      </c>
      <c r="G5" t="s">
        <v>68</v>
      </c>
      <c r="H5" t="s">
        <v>279</v>
      </c>
      <c r="I5" t="s">
        <v>68</v>
      </c>
      <c r="J5" t="s">
        <v>280</v>
      </c>
    </row>
    <row r="6" spans="2:11" x14ac:dyDescent="0.25">
      <c r="B6" t="s">
        <v>281</v>
      </c>
      <c r="C6" t="s">
        <v>282</v>
      </c>
      <c r="D6" t="s">
        <v>283</v>
      </c>
      <c r="E6" t="s">
        <v>68</v>
      </c>
      <c r="H6" t="s">
        <v>68</v>
      </c>
      <c r="J6" t="s">
        <v>68</v>
      </c>
    </row>
    <row r="7" spans="2:11" x14ac:dyDescent="0.25">
      <c r="B7" t="s">
        <v>68</v>
      </c>
      <c r="C7" t="s">
        <v>68</v>
      </c>
      <c r="D7"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574B5-EFAB-464E-82E4-4629FC9759B6}">
  <dimension ref="A1:C26"/>
  <sheetViews>
    <sheetView topLeftCell="A9" workbookViewId="0">
      <selection activeCell="A17" sqref="A17"/>
    </sheetView>
  </sheetViews>
  <sheetFormatPr defaultColWidth="8.875" defaultRowHeight="15.75" x14ac:dyDescent="0.25"/>
  <cols>
    <col min="1" max="1" width="44.125" customWidth="1"/>
    <col min="2" max="2" width="43.125" customWidth="1"/>
    <col min="3" max="3" width="39.125" customWidth="1"/>
  </cols>
  <sheetData>
    <row r="1" spans="1:3" x14ac:dyDescent="0.25">
      <c r="A1" t="s">
        <v>284</v>
      </c>
      <c r="B1" t="s">
        <v>285</v>
      </c>
      <c r="C1" t="s">
        <v>286</v>
      </c>
    </row>
    <row r="2" spans="1:3" ht="23.1" customHeight="1" x14ac:dyDescent="0.25">
      <c r="A2" s="27" t="s">
        <v>13</v>
      </c>
      <c r="B2" s="27" t="s">
        <v>287</v>
      </c>
      <c r="C2" s="27" t="s">
        <v>287</v>
      </c>
    </row>
    <row r="3" spans="1:3" ht="23.1" customHeight="1" x14ac:dyDescent="0.25">
      <c r="A3" s="27" t="s">
        <v>24</v>
      </c>
      <c r="B3" t="s">
        <v>288</v>
      </c>
      <c r="C3" t="s">
        <v>288</v>
      </c>
    </row>
    <row r="4" spans="1:3" ht="23.1" customHeight="1" x14ac:dyDescent="0.25">
      <c r="A4" s="27" t="s">
        <v>34</v>
      </c>
      <c r="B4" s="27" t="s">
        <v>34</v>
      </c>
    </row>
    <row r="5" spans="1:3" ht="23.1" customHeight="1" x14ac:dyDescent="0.25">
      <c r="A5" s="27" t="s">
        <v>43</v>
      </c>
      <c r="B5" s="27" t="s">
        <v>43</v>
      </c>
    </row>
    <row r="6" spans="1:3" ht="23.1" customHeight="1" x14ac:dyDescent="0.25">
      <c r="A6" s="27" t="s">
        <v>52</v>
      </c>
      <c r="B6" s="27" t="s">
        <v>289</v>
      </c>
    </row>
    <row r="7" spans="1:3" ht="23.1" customHeight="1" x14ac:dyDescent="0.25">
      <c r="A7" s="27" t="s">
        <v>60</v>
      </c>
      <c r="B7" s="27" t="s">
        <v>290</v>
      </c>
    </row>
    <row r="8" spans="1:3" ht="23.1" customHeight="1" x14ac:dyDescent="0.25">
      <c r="A8" s="27" t="s">
        <v>70</v>
      </c>
      <c r="B8" s="27" t="s">
        <v>70</v>
      </c>
    </row>
    <row r="9" spans="1:3" ht="23.1" customHeight="1" x14ac:dyDescent="0.25">
      <c r="A9" s="27" t="s">
        <v>291</v>
      </c>
      <c r="B9" s="27" t="s">
        <v>292</v>
      </c>
    </row>
    <row r="10" spans="1:3" ht="23.1" customHeight="1" x14ac:dyDescent="0.25">
      <c r="A10" s="27" t="s">
        <v>293</v>
      </c>
      <c r="B10" s="27" t="s">
        <v>292</v>
      </c>
    </row>
    <row r="11" spans="1:3" ht="23.1" customHeight="1" x14ac:dyDescent="0.25">
      <c r="A11" s="27" t="s">
        <v>90</v>
      </c>
      <c r="B11" s="27" t="s">
        <v>294</v>
      </c>
      <c r="C11" s="27" t="s">
        <v>294</v>
      </c>
    </row>
    <row r="12" spans="1:3" ht="23.1" customHeight="1" x14ac:dyDescent="0.25">
      <c r="A12" s="27" t="s">
        <v>98</v>
      </c>
      <c r="B12" s="29" t="s">
        <v>295</v>
      </c>
      <c r="C12" s="29" t="s">
        <v>295</v>
      </c>
    </row>
    <row r="13" spans="1:3" ht="23.1" customHeight="1" x14ac:dyDescent="0.25">
      <c r="A13" s="27" t="s">
        <v>108</v>
      </c>
      <c r="B13" s="29" t="s">
        <v>296</v>
      </c>
      <c r="C13" s="29" t="s">
        <v>296</v>
      </c>
    </row>
    <row r="14" spans="1:3" ht="23.1" customHeight="1" x14ac:dyDescent="0.25">
      <c r="A14" s="27" t="s">
        <v>118</v>
      </c>
      <c r="B14" s="27" t="s">
        <v>297</v>
      </c>
      <c r="C14" s="27" t="s">
        <v>297</v>
      </c>
    </row>
    <row r="15" spans="1:3" ht="23.1" customHeight="1" x14ac:dyDescent="0.25">
      <c r="A15" s="27" t="s">
        <v>127</v>
      </c>
      <c r="B15" s="29" t="s">
        <v>298</v>
      </c>
    </row>
    <row r="16" spans="1:3" ht="23.1" customHeight="1" x14ac:dyDescent="0.25">
      <c r="A16" s="27" t="s">
        <v>135</v>
      </c>
      <c r="B16" s="29" t="s">
        <v>298</v>
      </c>
    </row>
    <row r="17" spans="1:2" ht="53.1" customHeight="1" x14ac:dyDescent="0.25">
      <c r="A17" s="27" t="s">
        <v>145</v>
      </c>
      <c r="B17" s="29" t="s">
        <v>298</v>
      </c>
    </row>
    <row r="18" spans="1:2" ht="55.5" customHeight="1" x14ac:dyDescent="0.25">
      <c r="A18" s="27" t="s">
        <v>152</v>
      </c>
      <c r="B18" s="29" t="s">
        <v>298</v>
      </c>
    </row>
    <row r="19" spans="1:2" ht="23.1" customHeight="1" x14ac:dyDescent="0.25">
      <c r="A19" s="27" t="s">
        <v>159</v>
      </c>
      <c r="B19" s="29" t="s">
        <v>298</v>
      </c>
    </row>
    <row r="20" spans="1:2" ht="23.1" customHeight="1" x14ac:dyDescent="0.25">
      <c r="A20" s="27" t="s">
        <v>167</v>
      </c>
      <c r="B20" s="29" t="s">
        <v>298</v>
      </c>
    </row>
    <row r="21" spans="1:2" ht="23.1" customHeight="1" x14ac:dyDescent="0.25">
      <c r="A21" s="27" t="s">
        <v>176</v>
      </c>
      <c r="B21" s="29" t="s">
        <v>298</v>
      </c>
    </row>
    <row r="22" spans="1:2" ht="23.1" customHeight="1" x14ac:dyDescent="0.25">
      <c r="A22" s="27" t="s">
        <v>186</v>
      </c>
      <c r="B22" s="29" t="s">
        <v>298</v>
      </c>
    </row>
    <row r="23" spans="1:2" ht="23.1" customHeight="1" x14ac:dyDescent="0.25">
      <c r="A23" s="27" t="s">
        <v>192</v>
      </c>
      <c r="B23" s="29" t="s">
        <v>298</v>
      </c>
    </row>
    <row r="24" spans="1:2" ht="23.1" customHeight="1" x14ac:dyDescent="0.25">
      <c r="A24" s="27" t="s">
        <v>200</v>
      </c>
      <c r="B24" s="29" t="s">
        <v>298</v>
      </c>
    </row>
    <row r="25" spans="1:2" ht="23.1" customHeight="1" x14ac:dyDescent="0.25">
      <c r="A25" s="27" t="s">
        <v>209</v>
      </c>
      <c r="B25" s="29" t="s">
        <v>298</v>
      </c>
    </row>
    <row r="26" spans="1:2" ht="23.1" customHeight="1" x14ac:dyDescent="0.25">
      <c r="A26" s="27" t="s">
        <v>217</v>
      </c>
      <c r="B26" s="29" t="s">
        <v>298</v>
      </c>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AB77E-CC90-4C78-9EB2-A3009A97CF7D}">
  <dimension ref="A1:I21"/>
  <sheetViews>
    <sheetView workbookViewId="0"/>
  </sheetViews>
  <sheetFormatPr defaultColWidth="8.875" defaultRowHeight="15.75" x14ac:dyDescent="0.25"/>
  <cols>
    <col min="1" max="1" width="33.625" style="12" customWidth="1"/>
    <col min="2" max="2" width="12.875" style="15" customWidth="1"/>
    <col min="3" max="9" width="8.625" style="12"/>
  </cols>
  <sheetData>
    <row r="1" spans="1:2" x14ac:dyDescent="0.25">
      <c r="A1" s="14" t="s">
        <v>299</v>
      </c>
      <c r="B1" s="13" t="s">
        <v>300</v>
      </c>
    </row>
    <row r="2" spans="1:2" x14ac:dyDescent="0.25">
      <c r="A2" s="12" t="s">
        <v>301</v>
      </c>
      <c r="B2" s="15" t="e">
        <f>COUNTIF(AA!#REF!,Categories!A2)</f>
        <v>#REF!</v>
      </c>
    </row>
    <row r="3" spans="1:2" x14ac:dyDescent="0.25">
      <c r="A3" s="12" t="s">
        <v>302</v>
      </c>
      <c r="B3" s="15" t="e">
        <f>COUNTIF(AA!#REF!,Categories!A3)</f>
        <v>#REF!</v>
      </c>
    </row>
    <row r="4" spans="1:2" x14ac:dyDescent="0.25">
      <c r="A4" s="12" t="s">
        <v>303</v>
      </c>
      <c r="B4" s="15" t="e">
        <f>COUNTIF(AA!#REF!,Categories!A4)</f>
        <v>#REF!</v>
      </c>
    </row>
    <row r="5" spans="1:2" x14ac:dyDescent="0.25">
      <c r="A5" s="12" t="s">
        <v>304</v>
      </c>
      <c r="B5" s="15" t="e">
        <f>COUNTIF(AA!#REF!,Categories!A5)</f>
        <v>#REF!</v>
      </c>
    </row>
    <row r="6" spans="1:2" x14ac:dyDescent="0.25">
      <c r="A6" s="12" t="s">
        <v>305</v>
      </c>
      <c r="B6" s="15" t="e">
        <f>COUNTIF(AA!#REF!,Categories!A6)</f>
        <v>#REF!</v>
      </c>
    </row>
    <row r="7" spans="1:2" x14ac:dyDescent="0.25">
      <c r="A7" s="12" t="s">
        <v>306</v>
      </c>
      <c r="B7" s="15" t="e">
        <f>COUNTIF(AA!#REF!,Categories!A7)</f>
        <v>#REF!</v>
      </c>
    </row>
    <row r="8" spans="1:2" x14ac:dyDescent="0.25">
      <c r="A8" s="12" t="s">
        <v>307</v>
      </c>
      <c r="B8" s="15" t="e">
        <f>COUNTIF(AA!#REF!,Categories!A8)</f>
        <v>#REF!</v>
      </c>
    </row>
    <row r="9" spans="1:2" x14ac:dyDescent="0.25">
      <c r="A9" s="12" t="s">
        <v>308</v>
      </c>
      <c r="B9" s="15" t="e">
        <f>COUNTIF(AA!#REF!,Categories!A9)</f>
        <v>#REF!</v>
      </c>
    </row>
    <row r="10" spans="1:2" x14ac:dyDescent="0.25">
      <c r="A10" s="12" t="s">
        <v>309</v>
      </c>
      <c r="B10" s="15" t="e">
        <f>COUNTIF(AA!#REF!,Categories!A10)</f>
        <v>#REF!</v>
      </c>
    </row>
    <row r="11" spans="1:2" x14ac:dyDescent="0.25">
      <c r="A11" s="12" t="s">
        <v>310</v>
      </c>
      <c r="B11" s="15" t="e">
        <f>COUNTIF(AA!#REF!,Categories!A11)</f>
        <v>#REF!</v>
      </c>
    </row>
    <row r="12" spans="1:2" x14ac:dyDescent="0.25">
      <c r="A12" s="12" t="s">
        <v>311</v>
      </c>
      <c r="B12" s="15" t="e">
        <f>COUNTIF(AA!#REF!,Categories!A12)</f>
        <v>#REF!</v>
      </c>
    </row>
    <row r="13" spans="1:2" x14ac:dyDescent="0.25">
      <c r="A13" s="12" t="s">
        <v>312</v>
      </c>
      <c r="B13" s="15" t="e">
        <f>COUNTIF(AA!#REF!,Categories!A13)</f>
        <v>#REF!</v>
      </c>
    </row>
    <row r="14" spans="1:2" x14ac:dyDescent="0.25">
      <c r="A14" s="12" t="s">
        <v>313</v>
      </c>
      <c r="B14" s="15" t="e">
        <f>COUNTIF(AA!#REF!,Categories!A14)</f>
        <v>#REF!</v>
      </c>
    </row>
    <row r="15" spans="1:2" x14ac:dyDescent="0.25">
      <c r="A15" s="12" t="s">
        <v>314</v>
      </c>
      <c r="B15" s="15" t="e">
        <f>COUNTIF(AA!#REF!,Categories!A15)</f>
        <v>#REF!</v>
      </c>
    </row>
    <row r="16" spans="1:2" x14ac:dyDescent="0.25">
      <c r="A16" s="12" t="s">
        <v>315</v>
      </c>
      <c r="B16" s="15" t="e">
        <f>COUNTIF(AA!#REF!,Categories!A16)</f>
        <v>#REF!</v>
      </c>
    </row>
    <row r="17" spans="1:2" x14ac:dyDescent="0.25">
      <c r="A17" s="12" t="s">
        <v>316</v>
      </c>
      <c r="B17" s="15" t="e">
        <f>COUNTIF(AA!#REF!,Categories!A17)</f>
        <v>#REF!</v>
      </c>
    </row>
    <row r="18" spans="1:2" x14ac:dyDescent="0.25">
      <c r="A18" s="12" t="s">
        <v>317</v>
      </c>
      <c r="B18" s="15" t="e">
        <f>COUNTIF(AA!#REF!,Categories!A18)</f>
        <v>#REF!</v>
      </c>
    </row>
    <row r="19" spans="1:2" ht="18.75" customHeight="1" x14ac:dyDescent="0.25">
      <c r="A19" s="12" t="s">
        <v>318</v>
      </c>
      <c r="B19" s="15" t="e">
        <f>COUNTIF(AA!#REF!,Categories!A19)</f>
        <v>#REF!</v>
      </c>
    </row>
    <row r="20" spans="1:2" x14ac:dyDescent="0.25">
      <c r="A20" s="12" t="s">
        <v>319</v>
      </c>
      <c r="B20" s="15" t="e">
        <f>COUNTIF(AA!#REF!,Categories!A20)</f>
        <v>#REF!</v>
      </c>
    </row>
    <row r="21" spans="1:2" x14ac:dyDescent="0.25">
      <c r="A21" s="12" t="s">
        <v>320</v>
      </c>
      <c r="B21" s="15" t="e">
        <f>COUNTIF(AA!#REF!,Categories!A21)</f>
        <v>#REF!</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7BCA8-7A87-403E-B83B-698F04FF0321}">
  <sheetPr filterMode="1"/>
  <dimension ref="A1:AG27"/>
  <sheetViews>
    <sheetView zoomScale="70" zoomScaleNormal="70" workbookViewId="0">
      <pane xSplit="3" ySplit="1" topLeftCell="E24" activePane="bottomRight" state="frozen"/>
      <selection pane="topRight" activeCell="D1" sqref="D1"/>
      <selection pane="bottomLeft" activeCell="A3" sqref="A3"/>
      <selection pane="bottomRight" activeCell="E1" sqref="E1:T26"/>
    </sheetView>
  </sheetViews>
  <sheetFormatPr defaultColWidth="10.875" defaultRowHeight="17.25" x14ac:dyDescent="0.25"/>
  <cols>
    <col min="1" max="1" width="5.375" style="24" bestFit="1" customWidth="1"/>
    <col min="2" max="2" width="22.625" style="3" customWidth="1"/>
    <col min="3" max="3" width="63.625" style="4" bestFit="1" customWidth="1"/>
    <col min="4" max="4" width="29.625" style="24" hidden="1" customWidth="1"/>
    <col min="5" max="5" width="24.625" style="4" customWidth="1"/>
    <col min="6" max="6" width="8" style="4" hidden="1" customWidth="1"/>
    <col min="7" max="7" width="9.375" style="4" hidden="1" customWidth="1"/>
    <col min="8" max="8" width="26.875" style="4" hidden="1" customWidth="1"/>
    <col min="9" max="9" width="47.125" style="3" customWidth="1"/>
    <col min="10" max="10" width="22.625" style="22" hidden="1" customWidth="1"/>
    <col min="11" max="11" width="31.5" style="2" hidden="1" customWidth="1"/>
    <col min="12" max="12" width="44" style="2" hidden="1" customWidth="1"/>
    <col min="13" max="13" width="35.625" style="3" customWidth="1"/>
    <col min="14" max="14" width="55.125" style="3" customWidth="1"/>
    <col min="15" max="15" width="30.125" style="3" hidden="1" customWidth="1"/>
    <col min="16" max="16" width="18.5" style="3" hidden="1" customWidth="1"/>
    <col min="17" max="17" width="24.125" style="3" hidden="1" customWidth="1"/>
    <col min="18" max="18" width="36.5" style="3" customWidth="1"/>
    <col min="19" max="19" width="16.375" style="3" hidden="1" customWidth="1"/>
    <col min="20" max="20" width="36.125" style="3" customWidth="1"/>
    <col min="21" max="21" width="21.875" style="3" hidden="1" customWidth="1"/>
    <col min="22" max="22" width="18.375" style="3" hidden="1" customWidth="1"/>
    <col min="23" max="24" width="16.875" style="3" hidden="1" customWidth="1"/>
    <col min="25" max="25" width="16.5" style="3" hidden="1" customWidth="1"/>
    <col min="26" max="26" width="24.375" style="3" hidden="1" customWidth="1"/>
    <col min="27" max="27" width="16" style="3" hidden="1" customWidth="1"/>
    <col min="28" max="28" width="24.625" style="3" hidden="1" customWidth="1"/>
    <col min="29" max="29" width="48.375" style="3" hidden="1" customWidth="1"/>
    <col min="30" max="33" width="10.875" style="3"/>
    <col min="34" max="16384" width="10.875" style="4"/>
  </cols>
  <sheetData>
    <row r="1" spans="1:33" s="9" customFormat="1" ht="46.5" customHeight="1" x14ac:dyDescent="0.25">
      <c r="A1" s="5" t="s">
        <v>0</v>
      </c>
      <c r="B1" s="7" t="s">
        <v>1</v>
      </c>
      <c r="C1" s="7" t="s">
        <v>2</v>
      </c>
      <c r="D1" s="25" t="s">
        <v>321</v>
      </c>
      <c r="E1" s="9" t="s">
        <v>3</v>
      </c>
      <c r="F1" s="6" t="s">
        <v>322</v>
      </c>
      <c r="G1" s="18"/>
      <c r="H1" s="8" t="s">
        <v>299</v>
      </c>
      <c r="I1" s="8" t="s">
        <v>4</v>
      </c>
      <c r="J1" s="23" t="s">
        <v>5</v>
      </c>
      <c r="K1" s="8" t="s">
        <v>6</v>
      </c>
      <c r="L1" s="8" t="s">
        <v>7</v>
      </c>
      <c r="M1" s="8" t="s">
        <v>323</v>
      </c>
      <c r="N1" s="8" t="s">
        <v>9</v>
      </c>
      <c r="O1" s="16" t="s">
        <v>324</v>
      </c>
      <c r="P1" s="16" t="s">
        <v>325</v>
      </c>
      <c r="Q1" s="16" t="s">
        <v>326</v>
      </c>
      <c r="R1" s="8" t="s">
        <v>10</v>
      </c>
      <c r="S1" s="16" t="s">
        <v>11</v>
      </c>
      <c r="T1" s="8" t="s">
        <v>12</v>
      </c>
      <c r="U1" s="16" t="s">
        <v>327</v>
      </c>
      <c r="V1" s="16" t="s">
        <v>328</v>
      </c>
      <c r="W1" s="16" t="s">
        <v>329</v>
      </c>
      <c r="X1" s="16" t="s">
        <v>330</v>
      </c>
      <c r="Y1" s="16" t="s">
        <v>331</v>
      </c>
      <c r="Z1" s="16" t="s">
        <v>332</v>
      </c>
      <c r="AA1" s="8" t="s">
        <v>333</v>
      </c>
      <c r="AB1" s="8" t="s">
        <v>334</v>
      </c>
      <c r="AC1" s="8" t="s">
        <v>335</v>
      </c>
      <c r="AD1" s="8"/>
      <c r="AE1" s="8"/>
      <c r="AF1" s="8"/>
      <c r="AG1" s="8"/>
    </row>
    <row r="2" spans="1:33" ht="155.25" x14ac:dyDescent="0.25">
      <c r="A2" s="10">
        <v>1</v>
      </c>
      <c r="B2" s="27" t="s">
        <v>13</v>
      </c>
      <c r="C2" s="27" t="s">
        <v>14</v>
      </c>
      <c r="D2" s="26" t="s">
        <v>264</v>
      </c>
      <c r="E2" s="3" t="s">
        <v>15</v>
      </c>
      <c r="F2" s="19"/>
      <c r="G2" s="20"/>
      <c r="H2" s="21" t="s">
        <v>301</v>
      </c>
      <c r="I2" s="3" t="s">
        <v>16</v>
      </c>
      <c r="J2" s="22" t="s">
        <v>17</v>
      </c>
      <c r="K2" s="11" t="s">
        <v>18</v>
      </c>
      <c r="L2" s="11" t="s">
        <v>19</v>
      </c>
      <c r="M2" s="3" t="s">
        <v>336</v>
      </c>
      <c r="N2" s="3" t="s">
        <v>337</v>
      </c>
      <c r="O2" s="3" t="s">
        <v>281</v>
      </c>
      <c r="Q2" s="17"/>
      <c r="R2" s="3" t="s">
        <v>338</v>
      </c>
      <c r="S2" s="17"/>
      <c r="T2" s="3" t="s">
        <v>339</v>
      </c>
    </row>
    <row r="3" spans="1:33" ht="207" x14ac:dyDescent="0.25">
      <c r="A3" s="10">
        <v>2</v>
      </c>
      <c r="B3" s="27" t="s">
        <v>24</v>
      </c>
      <c r="C3" s="27" t="s">
        <v>25</v>
      </c>
      <c r="D3" s="26" t="s">
        <v>264</v>
      </c>
      <c r="E3" s="3" t="s">
        <v>26</v>
      </c>
      <c r="F3" s="19"/>
      <c r="G3" s="20"/>
      <c r="H3" s="21" t="s">
        <v>302</v>
      </c>
      <c r="I3" s="3" t="s">
        <v>27</v>
      </c>
      <c r="J3" s="22" t="s">
        <v>17</v>
      </c>
      <c r="K3" s="3" t="s">
        <v>28</v>
      </c>
      <c r="L3" s="3" t="s">
        <v>29</v>
      </c>
      <c r="M3" s="3" t="s">
        <v>30</v>
      </c>
      <c r="N3" s="3" t="s">
        <v>31</v>
      </c>
      <c r="Q3" s="17"/>
      <c r="R3" s="3" t="s">
        <v>32</v>
      </c>
      <c r="S3" s="17"/>
      <c r="T3" s="3" t="s">
        <v>33</v>
      </c>
    </row>
    <row r="4" spans="1:33" ht="120.75" x14ac:dyDescent="0.25">
      <c r="A4" s="10">
        <v>3</v>
      </c>
      <c r="B4" s="27" t="s">
        <v>34</v>
      </c>
      <c r="C4" s="27" t="s">
        <v>35</v>
      </c>
      <c r="D4" s="26" t="s">
        <v>264</v>
      </c>
      <c r="E4" s="4" t="s">
        <v>36</v>
      </c>
      <c r="F4" s="19"/>
      <c r="G4" s="20"/>
      <c r="H4" s="21" t="s">
        <v>303</v>
      </c>
      <c r="I4" s="3" t="s">
        <v>37</v>
      </c>
      <c r="J4" s="22" t="s">
        <v>17</v>
      </c>
      <c r="K4" s="2" t="s">
        <v>38</v>
      </c>
      <c r="L4" s="11" t="s">
        <v>39</v>
      </c>
      <c r="M4" s="3" t="s">
        <v>40</v>
      </c>
      <c r="Q4" s="17"/>
      <c r="R4" s="3" t="s">
        <v>41</v>
      </c>
      <c r="S4" s="17"/>
      <c r="T4" s="3" t="s">
        <v>42</v>
      </c>
    </row>
    <row r="5" spans="1:33" ht="120.75" x14ac:dyDescent="0.25">
      <c r="A5" s="10">
        <v>4</v>
      </c>
      <c r="B5" s="27" t="s">
        <v>43</v>
      </c>
      <c r="C5" s="27" t="s">
        <v>44</v>
      </c>
      <c r="D5" s="26" t="s">
        <v>264</v>
      </c>
      <c r="E5" s="4" t="s">
        <v>45</v>
      </c>
      <c r="F5" s="19"/>
      <c r="G5" s="20"/>
      <c r="H5" s="21" t="s">
        <v>304</v>
      </c>
      <c r="I5" s="3" t="s">
        <v>46</v>
      </c>
      <c r="J5" s="22" t="s">
        <v>17</v>
      </c>
      <c r="K5" s="2" t="s">
        <v>47</v>
      </c>
      <c r="L5" s="11" t="s">
        <v>48</v>
      </c>
      <c r="N5" s="3" t="s">
        <v>49</v>
      </c>
      <c r="Q5" s="17"/>
      <c r="R5" s="3" t="s">
        <v>50</v>
      </c>
      <c r="S5" s="17"/>
      <c r="T5" s="3" t="s">
        <v>51</v>
      </c>
    </row>
    <row r="6" spans="1:33" ht="120.75" x14ac:dyDescent="0.25">
      <c r="A6" s="10">
        <v>5</v>
      </c>
      <c r="B6" s="27" t="s">
        <v>52</v>
      </c>
      <c r="C6" s="27" t="s">
        <v>53</v>
      </c>
      <c r="D6" s="26" t="s">
        <v>264</v>
      </c>
      <c r="E6" s="4" t="s">
        <v>54</v>
      </c>
      <c r="F6" s="19"/>
      <c r="G6" s="20"/>
      <c r="H6" s="21" t="s">
        <v>305</v>
      </c>
      <c r="I6" s="3" t="s">
        <v>55</v>
      </c>
      <c r="J6" s="22" t="s">
        <v>17</v>
      </c>
      <c r="K6" s="11" t="s">
        <v>56</v>
      </c>
      <c r="L6" s="11" t="s">
        <v>340</v>
      </c>
      <c r="Q6" s="17"/>
      <c r="R6" s="3" t="s">
        <v>58</v>
      </c>
      <c r="S6" s="17"/>
      <c r="T6" s="3" t="s">
        <v>59</v>
      </c>
    </row>
    <row r="7" spans="1:33" ht="258.75" x14ac:dyDescent="0.25">
      <c r="A7" s="10">
        <v>6</v>
      </c>
      <c r="B7" s="27" t="s">
        <v>60</v>
      </c>
      <c r="C7" s="27" t="s">
        <v>61</v>
      </c>
      <c r="D7" s="26" t="s">
        <v>264</v>
      </c>
      <c r="E7" s="3" t="s">
        <v>62</v>
      </c>
      <c r="F7" s="19"/>
      <c r="G7" s="20"/>
      <c r="H7" s="21" t="s">
        <v>306</v>
      </c>
      <c r="I7" s="3" t="s">
        <v>63</v>
      </c>
      <c r="J7" s="22" t="s">
        <v>17</v>
      </c>
      <c r="K7" s="11" t="s">
        <v>18</v>
      </c>
      <c r="L7" s="11" t="s">
        <v>64</v>
      </c>
      <c r="M7" s="3" t="s">
        <v>65</v>
      </c>
      <c r="N7" s="3" t="s">
        <v>66</v>
      </c>
      <c r="O7" s="3" t="s">
        <v>68</v>
      </c>
      <c r="P7" s="3" t="s">
        <v>68</v>
      </c>
      <c r="Q7" s="17" t="s">
        <v>68</v>
      </c>
      <c r="R7" s="3" t="s">
        <v>67</v>
      </c>
      <c r="S7" s="17" t="s">
        <v>68</v>
      </c>
      <c r="T7" s="3" t="s">
        <v>69</v>
      </c>
      <c r="U7" s="3" t="s">
        <v>268</v>
      </c>
      <c r="V7" s="3" t="s">
        <v>269</v>
      </c>
      <c r="W7" s="3" t="s">
        <v>68</v>
      </c>
      <c r="X7" s="3" t="s">
        <v>68</v>
      </c>
      <c r="Y7" s="3" t="s">
        <v>68</v>
      </c>
      <c r="Z7" s="3" t="s">
        <v>273</v>
      </c>
      <c r="AB7" s="3" t="s">
        <v>254</v>
      </c>
      <c r="AC7" s="3" t="s">
        <v>341</v>
      </c>
    </row>
    <row r="8" spans="1:33" ht="138" x14ac:dyDescent="0.25">
      <c r="A8" s="10">
        <v>7</v>
      </c>
      <c r="B8" s="27" t="s">
        <v>70</v>
      </c>
      <c r="C8" s="27" t="s">
        <v>71</v>
      </c>
      <c r="D8" s="26" t="s">
        <v>264</v>
      </c>
      <c r="E8" s="4" t="s">
        <v>72</v>
      </c>
      <c r="F8" s="19"/>
      <c r="G8" s="20"/>
      <c r="H8" s="21" t="s">
        <v>307</v>
      </c>
      <c r="I8" s="3" t="s">
        <v>73</v>
      </c>
      <c r="J8" s="22" t="s">
        <v>17</v>
      </c>
      <c r="K8" s="2" t="s">
        <v>74</v>
      </c>
      <c r="L8" s="2" t="s">
        <v>75</v>
      </c>
      <c r="M8" s="3" t="s">
        <v>76</v>
      </c>
      <c r="O8" s="3" t="s">
        <v>281</v>
      </c>
      <c r="P8" s="3" t="s">
        <v>246</v>
      </c>
      <c r="Q8" s="17" t="s">
        <v>277</v>
      </c>
      <c r="R8" s="3" t="s">
        <v>78</v>
      </c>
      <c r="S8" s="17" t="s">
        <v>68</v>
      </c>
      <c r="T8" s="3" t="s">
        <v>79</v>
      </c>
      <c r="U8" s="3" t="s">
        <v>268</v>
      </c>
      <c r="V8" s="3" t="s">
        <v>68</v>
      </c>
      <c r="W8" s="3" t="s">
        <v>260</v>
      </c>
      <c r="X8" s="3" t="s">
        <v>251</v>
      </c>
      <c r="Y8" s="3" t="s">
        <v>252</v>
      </c>
      <c r="Z8" s="3" t="s">
        <v>68</v>
      </c>
      <c r="AA8" s="3" t="s">
        <v>254</v>
      </c>
      <c r="AB8" s="3" t="s">
        <v>254</v>
      </c>
      <c r="AC8" s="3" t="s">
        <v>254</v>
      </c>
    </row>
    <row r="9" spans="1:33" ht="224.25" x14ac:dyDescent="0.25">
      <c r="A9" s="10">
        <v>8</v>
      </c>
      <c r="B9" s="27" t="s">
        <v>291</v>
      </c>
      <c r="C9" s="27" t="s">
        <v>342</v>
      </c>
      <c r="D9" s="26" t="s">
        <v>264</v>
      </c>
      <c r="E9" s="3" t="s">
        <v>82</v>
      </c>
      <c r="F9" s="19"/>
      <c r="G9" s="20"/>
      <c r="H9" s="21"/>
      <c r="I9" s="3" t="s">
        <v>343</v>
      </c>
      <c r="J9" s="22" t="s">
        <v>17</v>
      </c>
      <c r="K9" s="2" t="s">
        <v>84</v>
      </c>
      <c r="L9" s="11" t="s">
        <v>344</v>
      </c>
      <c r="M9" s="3" t="s">
        <v>345</v>
      </c>
      <c r="N9" s="3" t="s">
        <v>346</v>
      </c>
      <c r="O9" s="3" t="s">
        <v>281</v>
      </c>
      <c r="P9" s="3" t="s">
        <v>68</v>
      </c>
      <c r="Q9" s="17" t="s">
        <v>267</v>
      </c>
      <c r="R9" s="3" t="s">
        <v>347</v>
      </c>
      <c r="S9" s="17" t="s">
        <v>68</v>
      </c>
      <c r="T9" s="3" t="s">
        <v>348</v>
      </c>
      <c r="U9" s="3" t="s">
        <v>268</v>
      </c>
      <c r="V9" s="3" t="s">
        <v>269</v>
      </c>
      <c r="W9" s="3" t="s">
        <v>260</v>
      </c>
      <c r="X9" s="3" t="s">
        <v>68</v>
      </c>
      <c r="Y9" s="3" t="s">
        <v>272</v>
      </c>
      <c r="Z9" s="3" t="s">
        <v>280</v>
      </c>
      <c r="AA9" s="3" t="s">
        <v>254</v>
      </c>
      <c r="AB9" s="3" t="s">
        <v>254</v>
      </c>
      <c r="AC9" s="3" t="s">
        <v>254</v>
      </c>
    </row>
    <row r="10" spans="1:33" ht="276" x14ac:dyDescent="0.25">
      <c r="A10" s="10">
        <v>8</v>
      </c>
      <c r="B10" s="27" t="s">
        <v>293</v>
      </c>
      <c r="C10" s="27" t="s">
        <v>81</v>
      </c>
      <c r="D10" s="26" t="s">
        <v>264</v>
      </c>
      <c r="E10" s="3" t="s">
        <v>82</v>
      </c>
      <c r="F10" s="19"/>
      <c r="G10" s="20"/>
      <c r="H10" s="21" t="s">
        <v>308</v>
      </c>
      <c r="I10" s="3" t="s">
        <v>349</v>
      </c>
      <c r="J10" s="22" t="s">
        <v>17</v>
      </c>
      <c r="K10" s="2" t="s">
        <v>84</v>
      </c>
      <c r="L10" s="11" t="s">
        <v>85</v>
      </c>
      <c r="M10" s="3" t="s">
        <v>350</v>
      </c>
      <c r="N10" s="3" t="s">
        <v>351</v>
      </c>
      <c r="O10" s="3" t="s">
        <v>281</v>
      </c>
      <c r="Q10" s="17" t="s">
        <v>277</v>
      </c>
      <c r="R10" s="3" t="s">
        <v>352</v>
      </c>
      <c r="S10" s="17" t="s">
        <v>68</v>
      </c>
      <c r="T10" s="3" t="s">
        <v>353</v>
      </c>
      <c r="U10" s="3" t="s">
        <v>268</v>
      </c>
      <c r="V10" s="3" t="s">
        <v>68</v>
      </c>
      <c r="W10" s="3" t="s">
        <v>260</v>
      </c>
      <c r="X10" s="3" t="s">
        <v>68</v>
      </c>
      <c r="Y10" s="3" t="s">
        <v>272</v>
      </c>
      <c r="Z10" s="3" t="s">
        <v>280</v>
      </c>
      <c r="AA10" s="3" t="s">
        <v>254</v>
      </c>
      <c r="AB10" s="3" t="s">
        <v>254</v>
      </c>
      <c r="AC10" s="3" t="s">
        <v>254</v>
      </c>
    </row>
    <row r="11" spans="1:33" ht="120.75" x14ac:dyDescent="0.25">
      <c r="A11" s="10">
        <v>9</v>
      </c>
      <c r="B11" s="27" t="s">
        <v>90</v>
      </c>
      <c r="C11" s="27" t="s">
        <v>91</v>
      </c>
      <c r="D11" s="26" t="s">
        <v>264</v>
      </c>
      <c r="E11" s="4" t="s">
        <v>36</v>
      </c>
      <c r="F11" s="19"/>
      <c r="G11" s="20"/>
      <c r="H11" s="21" t="s">
        <v>303</v>
      </c>
      <c r="I11" s="3" t="s">
        <v>92</v>
      </c>
      <c r="J11" s="22" t="s">
        <v>17</v>
      </c>
      <c r="K11" s="2" t="s">
        <v>38</v>
      </c>
      <c r="L11" s="11" t="s">
        <v>93</v>
      </c>
      <c r="M11" s="3" t="s">
        <v>94</v>
      </c>
      <c r="N11" s="3" t="s">
        <v>95</v>
      </c>
      <c r="O11" s="3" t="s">
        <v>245</v>
      </c>
      <c r="Q11" s="17"/>
      <c r="R11" s="3" t="s">
        <v>96</v>
      </c>
      <c r="S11" s="17"/>
      <c r="T11" s="3" t="s">
        <v>97</v>
      </c>
    </row>
    <row r="12" spans="1:33" ht="120.75" x14ac:dyDescent="0.25">
      <c r="A12" s="10">
        <v>10</v>
      </c>
      <c r="B12" s="27" t="s">
        <v>98</v>
      </c>
      <c r="C12" s="27" t="s">
        <v>99</v>
      </c>
      <c r="D12" s="26" t="s">
        <v>264</v>
      </c>
      <c r="E12" s="4" t="s">
        <v>100</v>
      </c>
      <c r="F12" s="19"/>
      <c r="G12" s="20"/>
      <c r="H12" s="21" t="s">
        <v>309</v>
      </c>
      <c r="I12" s="3" t="s">
        <v>101</v>
      </c>
      <c r="J12" s="22" t="s">
        <v>17</v>
      </c>
      <c r="K12" s="2" t="s">
        <v>102</v>
      </c>
      <c r="L12" s="11" t="s">
        <v>103</v>
      </c>
      <c r="M12" s="3" t="s">
        <v>354</v>
      </c>
      <c r="N12" s="3" t="s">
        <v>355</v>
      </c>
      <c r="O12" s="3" t="s">
        <v>275</v>
      </c>
      <c r="Q12" s="17" t="s">
        <v>247</v>
      </c>
      <c r="R12" s="3" t="s">
        <v>106</v>
      </c>
      <c r="S12" s="17"/>
      <c r="T12" s="3" t="s">
        <v>107</v>
      </c>
      <c r="U12" s="3" t="s">
        <v>268</v>
      </c>
      <c r="V12" s="3" t="s">
        <v>249</v>
      </c>
      <c r="W12" s="3" t="s">
        <v>260</v>
      </c>
      <c r="X12" s="3" t="s">
        <v>261</v>
      </c>
      <c r="Y12" s="3" t="s">
        <v>262</v>
      </c>
      <c r="Z12" s="3" t="s">
        <v>280</v>
      </c>
      <c r="AA12" s="3" t="s">
        <v>254</v>
      </c>
      <c r="AB12" s="3" t="s">
        <v>254</v>
      </c>
    </row>
    <row r="13" spans="1:33" ht="120.75" x14ac:dyDescent="0.25">
      <c r="A13" s="10">
        <v>11</v>
      </c>
      <c r="B13" s="27" t="s">
        <v>108</v>
      </c>
      <c r="C13" s="27" t="s">
        <v>109</v>
      </c>
      <c r="D13" s="26" t="s">
        <v>264</v>
      </c>
      <c r="E13" s="4" t="s">
        <v>110</v>
      </c>
      <c r="F13" s="19"/>
      <c r="G13" s="20"/>
      <c r="H13" s="21" t="s">
        <v>310</v>
      </c>
      <c r="I13" s="3" t="s">
        <v>111</v>
      </c>
      <c r="J13" s="22" t="s">
        <v>17</v>
      </c>
      <c r="K13" s="11" t="s">
        <v>112</v>
      </c>
      <c r="L13" s="11" t="s">
        <v>113</v>
      </c>
      <c r="Q13" s="17"/>
      <c r="R13" s="3" t="s">
        <v>116</v>
      </c>
      <c r="S13" s="17"/>
      <c r="T13" s="3" t="s">
        <v>117</v>
      </c>
    </row>
    <row r="14" spans="1:33" ht="120.75" x14ac:dyDescent="0.25">
      <c r="A14" s="10">
        <v>12</v>
      </c>
      <c r="B14" s="27" t="s">
        <v>118</v>
      </c>
      <c r="C14" s="27" t="s">
        <v>119</v>
      </c>
      <c r="D14" s="26" t="s">
        <v>254</v>
      </c>
      <c r="E14" s="3" t="s">
        <v>120</v>
      </c>
      <c r="F14" s="19"/>
      <c r="G14" s="20"/>
      <c r="H14" s="21" t="s">
        <v>311</v>
      </c>
      <c r="I14" s="3" t="s">
        <v>121</v>
      </c>
      <c r="J14" s="22" t="s">
        <v>122</v>
      </c>
      <c r="K14" s="2" t="s">
        <v>102</v>
      </c>
      <c r="L14" s="11" t="s">
        <v>123</v>
      </c>
      <c r="N14" s="3" t="s">
        <v>356</v>
      </c>
      <c r="Q14" s="17"/>
      <c r="R14" s="3" t="s">
        <v>125</v>
      </c>
      <c r="S14" s="17"/>
      <c r="T14" s="3" t="s">
        <v>126</v>
      </c>
    </row>
    <row r="15" spans="1:33" ht="138" x14ac:dyDescent="0.25">
      <c r="A15" s="10">
        <v>13</v>
      </c>
      <c r="B15" s="27" t="s">
        <v>127</v>
      </c>
      <c r="C15" s="27" t="s">
        <v>128</v>
      </c>
      <c r="D15" s="26" t="s">
        <v>264</v>
      </c>
      <c r="E15" s="4" t="s">
        <v>110</v>
      </c>
      <c r="F15" s="19"/>
      <c r="G15" s="20"/>
      <c r="H15" s="21" t="s">
        <v>312</v>
      </c>
      <c r="I15" s="3" t="s">
        <v>129</v>
      </c>
      <c r="J15" s="22" t="s">
        <v>17</v>
      </c>
      <c r="K15" s="11" t="s">
        <v>112</v>
      </c>
      <c r="L15" s="11" t="s">
        <v>130</v>
      </c>
      <c r="N15" s="3" t="s">
        <v>357</v>
      </c>
      <c r="Q15" s="17"/>
      <c r="R15" s="3" t="s">
        <v>133</v>
      </c>
      <c r="S15" s="17"/>
      <c r="T15" s="3" t="s">
        <v>134</v>
      </c>
    </row>
    <row r="16" spans="1:33" ht="120.75" x14ac:dyDescent="0.25">
      <c r="A16" s="10">
        <v>14</v>
      </c>
      <c r="B16" s="27" t="s">
        <v>135</v>
      </c>
      <c r="C16" s="27" t="s">
        <v>136</v>
      </c>
      <c r="D16" s="26" t="s">
        <v>264</v>
      </c>
      <c r="E16" s="4" t="s">
        <v>137</v>
      </c>
      <c r="F16" s="19"/>
      <c r="G16" s="20"/>
      <c r="H16" s="21" t="s">
        <v>313</v>
      </c>
      <c r="I16" s="3" t="s">
        <v>138</v>
      </c>
      <c r="J16" s="22" t="s">
        <v>17</v>
      </c>
      <c r="K16" s="11" t="s">
        <v>139</v>
      </c>
      <c r="L16" s="11" t="s">
        <v>140</v>
      </c>
      <c r="M16" s="3" t="s">
        <v>358</v>
      </c>
      <c r="N16" s="3" t="s">
        <v>359</v>
      </c>
      <c r="Q16" s="17"/>
      <c r="R16" s="3" t="s">
        <v>360</v>
      </c>
      <c r="S16" s="17"/>
      <c r="T16" s="3" t="s">
        <v>144</v>
      </c>
    </row>
    <row r="17" spans="1:20" ht="138" x14ac:dyDescent="0.25">
      <c r="A17" s="10">
        <v>15</v>
      </c>
      <c r="B17" s="27" t="s">
        <v>145</v>
      </c>
      <c r="C17" s="27" t="s">
        <v>146</v>
      </c>
      <c r="D17" s="26" t="s">
        <v>264</v>
      </c>
      <c r="E17" s="4" t="s">
        <v>147</v>
      </c>
      <c r="F17" s="19"/>
      <c r="G17" s="20"/>
      <c r="H17" s="21" t="s">
        <v>304</v>
      </c>
      <c r="I17" s="3" t="s">
        <v>148</v>
      </c>
      <c r="J17" s="22" t="s">
        <v>17</v>
      </c>
      <c r="K17" s="2" t="s">
        <v>102</v>
      </c>
      <c r="L17" s="11" t="s">
        <v>149</v>
      </c>
      <c r="Q17" s="17"/>
      <c r="R17" s="3" t="s">
        <v>150</v>
      </c>
      <c r="S17" s="17"/>
      <c r="T17" s="3" t="s">
        <v>151</v>
      </c>
    </row>
    <row r="18" spans="1:20" ht="138" x14ac:dyDescent="0.25">
      <c r="A18" s="10">
        <v>16</v>
      </c>
      <c r="B18" s="27" t="s">
        <v>152</v>
      </c>
      <c r="C18" s="27" t="s">
        <v>153</v>
      </c>
      <c r="D18" s="26" t="s">
        <v>264</v>
      </c>
      <c r="E18" s="4" t="s">
        <v>154</v>
      </c>
      <c r="F18" s="19"/>
      <c r="G18" s="20"/>
      <c r="H18" s="21" t="s">
        <v>314</v>
      </c>
      <c r="I18" s="3" t="s">
        <v>155</v>
      </c>
      <c r="J18" s="22" t="s">
        <v>17</v>
      </c>
      <c r="K18" s="2" t="s">
        <v>102</v>
      </c>
      <c r="L18" s="11" t="s">
        <v>156</v>
      </c>
      <c r="Q18" s="17"/>
      <c r="R18" s="3" t="s">
        <v>157</v>
      </c>
      <c r="S18" s="17"/>
      <c r="T18" s="3" t="s">
        <v>158</v>
      </c>
    </row>
    <row r="19" spans="1:20" ht="120.75" x14ac:dyDescent="0.25">
      <c r="A19" s="10">
        <v>17</v>
      </c>
      <c r="B19" s="27" t="s">
        <v>159</v>
      </c>
      <c r="C19" s="27" t="s">
        <v>14</v>
      </c>
      <c r="D19" s="26" t="s">
        <v>264</v>
      </c>
      <c r="E19" s="4" t="s">
        <v>160</v>
      </c>
      <c r="F19" s="19"/>
      <c r="G19" s="20"/>
      <c r="H19" s="21" t="s">
        <v>301</v>
      </c>
      <c r="I19" s="3" t="s">
        <v>161</v>
      </c>
      <c r="J19" s="22" t="s">
        <v>17</v>
      </c>
      <c r="K19" s="2" t="s">
        <v>102</v>
      </c>
      <c r="L19" s="11" t="s">
        <v>162</v>
      </c>
      <c r="Q19" s="17"/>
      <c r="R19" s="3" t="s">
        <v>165</v>
      </c>
      <c r="S19" s="17"/>
      <c r="T19" s="3" t="s">
        <v>166</v>
      </c>
    </row>
    <row r="20" spans="1:20" ht="172.5" x14ac:dyDescent="0.25">
      <c r="A20" s="10">
        <v>18</v>
      </c>
      <c r="B20" s="27" t="s">
        <v>167</v>
      </c>
      <c r="C20" s="27" t="s">
        <v>168</v>
      </c>
      <c r="D20" s="26" t="s">
        <v>264</v>
      </c>
      <c r="E20" s="4" t="s">
        <v>169</v>
      </c>
      <c r="F20" s="19"/>
      <c r="G20" s="20"/>
      <c r="H20" s="21" t="s">
        <v>315</v>
      </c>
      <c r="I20" s="3" t="s">
        <v>170</v>
      </c>
      <c r="J20" s="22" t="s">
        <v>122</v>
      </c>
      <c r="K20" s="11" t="s">
        <v>171</v>
      </c>
      <c r="L20" s="11" t="s">
        <v>172</v>
      </c>
      <c r="N20" s="3" t="s">
        <v>173</v>
      </c>
      <c r="Q20" s="17"/>
      <c r="R20" s="3" t="s">
        <v>174</v>
      </c>
      <c r="S20" s="17"/>
      <c r="T20" s="3" t="s">
        <v>175</v>
      </c>
    </row>
    <row r="21" spans="1:20" ht="120.75" x14ac:dyDescent="0.25">
      <c r="A21" s="10">
        <v>19</v>
      </c>
      <c r="B21" s="27" t="s">
        <v>176</v>
      </c>
      <c r="C21" s="27" t="s">
        <v>177</v>
      </c>
      <c r="D21" s="26" t="s">
        <v>264</v>
      </c>
      <c r="E21" s="4" t="s">
        <v>178</v>
      </c>
      <c r="F21" s="19"/>
      <c r="G21" s="20"/>
      <c r="H21" s="21" t="s">
        <v>316</v>
      </c>
      <c r="I21" s="3" t="s">
        <v>361</v>
      </c>
      <c r="J21" s="22" t="s">
        <v>122</v>
      </c>
      <c r="K21" s="11" t="s">
        <v>362</v>
      </c>
      <c r="L21" s="11" t="s">
        <v>363</v>
      </c>
      <c r="Q21" s="17"/>
      <c r="R21" s="3" t="s">
        <v>184</v>
      </c>
      <c r="S21" s="17"/>
      <c r="T21" s="3" t="s">
        <v>185</v>
      </c>
    </row>
    <row r="22" spans="1:20" ht="120.75" x14ac:dyDescent="0.25">
      <c r="A22" s="10">
        <v>20</v>
      </c>
      <c r="B22" s="27" t="s">
        <v>186</v>
      </c>
      <c r="C22" s="27"/>
      <c r="D22" s="26" t="s">
        <v>264</v>
      </c>
      <c r="E22" s="3" t="s">
        <v>187</v>
      </c>
      <c r="F22" s="19"/>
      <c r="G22" s="20"/>
      <c r="H22" s="21" t="s">
        <v>317</v>
      </c>
      <c r="I22" s="3" t="s">
        <v>188</v>
      </c>
      <c r="J22" s="22" t="s">
        <v>122</v>
      </c>
      <c r="K22" s="3" t="s">
        <v>187</v>
      </c>
      <c r="L22" s="3" t="s">
        <v>187</v>
      </c>
      <c r="M22" s="3" t="s">
        <v>187</v>
      </c>
      <c r="N22" s="3" t="s">
        <v>189</v>
      </c>
      <c r="Q22" s="17"/>
      <c r="R22" s="3" t="s">
        <v>190</v>
      </c>
      <c r="S22" s="17"/>
      <c r="T22" s="3" t="s">
        <v>191</v>
      </c>
    </row>
    <row r="23" spans="1:20" ht="120.75" x14ac:dyDescent="0.25">
      <c r="A23" s="10">
        <v>21</v>
      </c>
      <c r="B23" s="27" t="s">
        <v>192</v>
      </c>
      <c r="C23" s="27" t="s">
        <v>193</v>
      </c>
      <c r="D23" s="26" t="s">
        <v>264</v>
      </c>
      <c r="E23" s="4" t="s">
        <v>194</v>
      </c>
      <c r="F23" s="19"/>
      <c r="G23" s="20"/>
      <c r="H23" s="21" t="s">
        <v>318</v>
      </c>
      <c r="I23" s="3" t="s">
        <v>195</v>
      </c>
      <c r="J23" s="22" t="s">
        <v>17</v>
      </c>
      <c r="K23" s="2" t="s">
        <v>102</v>
      </c>
      <c r="L23" s="11" t="s">
        <v>196</v>
      </c>
      <c r="N23" s="3" t="s">
        <v>197</v>
      </c>
      <c r="Q23" s="17"/>
      <c r="R23" s="3" t="s">
        <v>198</v>
      </c>
      <c r="S23" s="17"/>
      <c r="T23" s="3" t="s">
        <v>199</v>
      </c>
    </row>
    <row r="24" spans="1:20" ht="138" x14ac:dyDescent="0.25">
      <c r="A24" s="10">
        <v>22</v>
      </c>
      <c r="B24" s="27" t="s">
        <v>364</v>
      </c>
      <c r="C24" s="27" t="s">
        <v>201</v>
      </c>
      <c r="D24" s="26" t="s">
        <v>264</v>
      </c>
      <c r="E24" s="4" t="s">
        <v>202</v>
      </c>
      <c r="F24" s="19"/>
      <c r="G24" s="20"/>
      <c r="H24" s="21" t="s">
        <v>319</v>
      </c>
      <c r="I24" s="3" t="s">
        <v>203</v>
      </c>
      <c r="J24" s="22" t="s">
        <v>122</v>
      </c>
      <c r="K24" s="2" t="s">
        <v>102</v>
      </c>
      <c r="L24" s="11" t="s">
        <v>204</v>
      </c>
      <c r="Q24" s="17"/>
      <c r="R24" s="3" t="s">
        <v>207</v>
      </c>
      <c r="S24" s="17"/>
      <c r="T24" s="3" t="s">
        <v>365</v>
      </c>
    </row>
    <row r="25" spans="1:20" ht="138" x14ac:dyDescent="0.25">
      <c r="A25" s="10">
        <v>23</v>
      </c>
      <c r="B25" s="27" t="s">
        <v>209</v>
      </c>
      <c r="C25" s="27" t="s">
        <v>210</v>
      </c>
      <c r="D25" s="26" t="s">
        <v>264</v>
      </c>
      <c r="E25" s="4" t="s">
        <v>45</v>
      </c>
      <c r="F25" s="19"/>
      <c r="G25" s="20"/>
      <c r="H25" s="21" t="s">
        <v>320</v>
      </c>
      <c r="I25" s="3" t="s">
        <v>211</v>
      </c>
      <c r="J25" s="22" t="s">
        <v>122</v>
      </c>
      <c r="K25" s="2" t="s">
        <v>212</v>
      </c>
      <c r="L25" s="11" t="s">
        <v>213</v>
      </c>
      <c r="N25" s="3" t="s">
        <v>214</v>
      </c>
      <c r="Q25" s="17"/>
      <c r="R25" s="3" t="s">
        <v>215</v>
      </c>
      <c r="S25" s="17"/>
      <c r="T25" s="3" t="s">
        <v>216</v>
      </c>
    </row>
    <row r="26" spans="1:20" ht="276" x14ac:dyDescent="0.25">
      <c r="A26" s="10">
        <v>24</v>
      </c>
      <c r="B26" s="27" t="s">
        <v>217</v>
      </c>
      <c r="C26" s="27" t="s">
        <v>218</v>
      </c>
      <c r="D26" s="26" t="s">
        <v>264</v>
      </c>
      <c r="E26" s="3" t="s">
        <v>219</v>
      </c>
      <c r="F26" s="19"/>
      <c r="G26" s="20"/>
      <c r="H26" s="21" t="s">
        <v>306</v>
      </c>
      <c r="I26" s="3" t="s">
        <v>220</v>
      </c>
      <c r="J26" s="22" t="s">
        <v>17</v>
      </c>
      <c r="K26" s="11" t="s">
        <v>221</v>
      </c>
      <c r="L26" s="11" t="s">
        <v>222</v>
      </c>
      <c r="M26" s="3" t="s">
        <v>223</v>
      </c>
      <c r="N26" s="28" t="s">
        <v>224</v>
      </c>
      <c r="O26" s="3" t="s">
        <v>255</v>
      </c>
      <c r="Q26" s="17" t="s">
        <v>68</v>
      </c>
      <c r="R26" s="3" t="s">
        <v>225</v>
      </c>
      <c r="S26" s="17" t="s">
        <v>68</v>
      </c>
      <c r="T26" s="3" t="s">
        <v>226</v>
      </c>
    </row>
    <row r="27" spans="1:20" x14ac:dyDescent="0.25">
      <c r="C27" s="3"/>
      <c r="D27" s="26"/>
    </row>
  </sheetData>
  <sheetProtection formatCells="0" formatRows="0" sort="0" autoFilter="0" pivotTables="0"/>
  <autoFilter ref="A1:AC27" xr:uid="{45EEFAE0-D78C-A444-924A-EEB2AC260594}">
    <filterColumn colId="4">
      <filters>
        <filter val="Corina Elama"/>
        <filter val="Corina Elama _x000a_Sarah Amundsen_x000a_Brett Allport"/>
      </filters>
    </filterColumn>
  </autoFilter>
  <dataValidations count="1">
    <dataValidation type="list" allowBlank="1" showInputMessage="1" showErrorMessage="1" sqref="D2:D26" xr:uid="{EEED568B-4B1E-4E1A-AEF3-CA91DAC3E42E}">
      <formula1>"No, Yes"</formula1>
    </dataValidation>
  </dataValidations>
  <pageMargins left="0.7" right="0.7" top="0.75" bottom="0.75" header="0.3" footer="0.3"/>
  <headerFooter>
    <oddHeader>&amp;C&amp;"Aptos"&amp;10&amp;K000000 CONFIDENTIAL&amp;1#_x000D_</oddHeader>
    <oddFooter>&amp;C_x000D_&amp;1#&amp;"Aptos"&amp;10&amp;K000000 CONFIDENTIAL</oddFooter>
  </headerFooter>
  <extLst>
    <ext xmlns:x14="http://schemas.microsoft.com/office/spreadsheetml/2009/9/main" uri="{CCE6A557-97BC-4b89-ADB6-D9C93CAAB3DF}">
      <x14:dataValidations xmlns:xm="http://schemas.microsoft.com/office/excel/2006/main" count="10">
        <x14:dataValidation type="list" allowBlank="1" showInputMessage="1" showErrorMessage="1" xr:uid="{F0ED6477-7FD9-4066-B3ED-203C9C3357D6}">
          <x14:formula1>
            <xm:f>Lists!$K$2:$K$4</xm:f>
          </x14:formula1>
          <xm:sqref>AA2:AB26</xm:sqref>
        </x14:dataValidation>
        <x14:dataValidation type="list" allowBlank="1" showInputMessage="1" showErrorMessage="1" xr:uid="{38CFCE5C-45E3-4C86-8876-D8E408AB70A3}">
          <x14:formula1>
            <xm:f>Lists!$J$2:$J$6</xm:f>
          </x14:formula1>
          <xm:sqref>Z2:Z26</xm:sqref>
        </x14:dataValidation>
        <x14:dataValidation type="list" allowBlank="1" showInputMessage="1" showErrorMessage="1" xr:uid="{DDF1726F-D409-4406-B6F4-268D4578E59C}">
          <x14:formula1>
            <xm:f>Lists!$I$2:$I$5</xm:f>
          </x14:formula1>
          <xm:sqref>Y2:Y26</xm:sqref>
        </x14:dataValidation>
        <x14:dataValidation type="list" allowBlank="1" showInputMessage="1" showErrorMessage="1" xr:uid="{5BC56DD6-574B-4E6B-80A0-A41AAF0DE1EB}">
          <x14:formula1>
            <xm:f>Lists!$H$2:$H$6</xm:f>
          </x14:formula1>
          <xm:sqref>X2:X26</xm:sqref>
        </x14:dataValidation>
        <x14:dataValidation type="list" allowBlank="1" showInputMessage="1" showErrorMessage="1" xr:uid="{C859E81E-F26A-4490-BB24-B07658E839D0}">
          <x14:formula1>
            <xm:f>Lists!$G$2:$G$5</xm:f>
          </x14:formula1>
          <xm:sqref>W2:W26</xm:sqref>
        </x14:dataValidation>
        <x14:dataValidation type="list" allowBlank="1" showInputMessage="1" showErrorMessage="1" xr:uid="{606D259D-8149-4845-95E0-3CC54F15C7F9}">
          <x14:formula1>
            <xm:f>Lists!$F$2:$F$5</xm:f>
          </x14:formula1>
          <xm:sqref>V2:V26</xm:sqref>
        </x14:dataValidation>
        <x14:dataValidation type="list" allowBlank="1" showInputMessage="1" showErrorMessage="1" xr:uid="{27426ECA-7153-4713-92BA-167F38A530D1}">
          <x14:formula1>
            <xm:f>Lists!$E$2:$E$6</xm:f>
          </x14:formula1>
          <xm:sqref>U2:U26</xm:sqref>
        </x14:dataValidation>
        <x14:dataValidation type="list" allowBlank="1" showInputMessage="1" showErrorMessage="1" xr:uid="{E232D969-A970-4A43-94FC-1C99D3E7169D}">
          <x14:formula1>
            <xm:f>Lists!$D$2:$D$7</xm:f>
          </x14:formula1>
          <xm:sqref>S2:S26 Q2:Q26</xm:sqref>
        </x14:dataValidation>
        <x14:dataValidation type="list" allowBlank="1" showInputMessage="1" showErrorMessage="1" xr:uid="{A540B9FE-1047-4760-81F8-5CE4750F80D6}">
          <x14:formula1>
            <xm:f>Lists!$C$2:$C$7</xm:f>
          </x14:formula1>
          <xm:sqref>P2:P26</xm:sqref>
        </x14:dataValidation>
        <x14:dataValidation type="list" allowBlank="1" showInputMessage="1" showErrorMessage="1" xr:uid="{7CDD0B18-C097-4DB9-959A-468644E0AC3C}">
          <x14:formula1>
            <xm:f>Lists!$B$2:$B$7</xm:f>
          </x14:formula1>
          <xm:sqref>O2:O26</xm:sqref>
        </x14:dataValidation>
      </x14:dataValidations>
    </ext>
  </extLst>
</worksheet>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AA</vt:lpstr>
      <vt:lpstr>Lists</vt:lpstr>
      <vt:lpstr>Sheet2</vt:lpstr>
      <vt:lpstr>Categories</vt:lpstr>
      <vt:lpstr>Full columns</vt:lpstr>
      <vt:lpstr>Categories!Extract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Ramasundar, Janani</dc:creator>
  <cp:keywords/>
  <dc:description/>
  <cp:lastModifiedBy>Dermot O'Brien</cp:lastModifiedBy>
  <cp:revision/>
  <dcterms:created xsi:type="dcterms:W3CDTF">2025-12-02T08:42:25Z</dcterms:created>
  <dcterms:modified xsi:type="dcterms:W3CDTF">2025-12-10T02:46:30Z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6540fd-2ffe-4a36-b938-ea52019ecca8_Enabled">
    <vt:lpwstr>true</vt:lpwstr>
  </property>
  <property fmtid="{D5CDD505-2E9C-101B-9397-08002B2CF9AE}" pid="3" name="MSIP_Label_246540fd-2ffe-4a36-b938-ea52019ecca8_SetDate">
    <vt:lpwstr>2025-12-03T20:53:32Z</vt:lpwstr>
  </property>
  <property fmtid="{D5CDD505-2E9C-101B-9397-08002B2CF9AE}" pid="4" name="MSIP_Label_246540fd-2ffe-4a36-b938-ea52019ecca8_Method">
    <vt:lpwstr>Privileged</vt:lpwstr>
  </property>
  <property fmtid="{D5CDD505-2E9C-101B-9397-08002B2CF9AE}" pid="5" name="MSIP_Label_246540fd-2ffe-4a36-b938-ea52019ecca8_Name">
    <vt:lpwstr>246540fd-2ffe-4a36-b938-ea52019ecca8</vt:lpwstr>
  </property>
  <property fmtid="{D5CDD505-2E9C-101B-9397-08002B2CF9AE}" pid="6" name="MSIP_Label_246540fd-2ffe-4a36-b938-ea52019ecca8_SiteId">
    <vt:lpwstr>2dc32a81-25ce-4e14-b7bd-f7a45d1170c0</vt:lpwstr>
  </property>
  <property fmtid="{D5CDD505-2E9C-101B-9397-08002B2CF9AE}" pid="7" name="MSIP_Label_246540fd-2ffe-4a36-b938-ea52019ecca8_ActionId">
    <vt:lpwstr>bbe42101-4b57-45f9-a7eb-87a742295e46</vt:lpwstr>
  </property>
  <property fmtid="{D5CDD505-2E9C-101B-9397-08002B2CF9AE}" pid="8" name="MSIP_Label_246540fd-2ffe-4a36-b938-ea52019ecca8_ContentBits">
    <vt:lpwstr>3</vt:lpwstr>
  </property>
  <property fmtid="{D5CDD505-2E9C-101B-9397-08002B2CF9AE}" pid="9" name="MSIP_Label_246540fd-2ffe-4a36-b938-ea52019ecca8_Tag">
    <vt:lpwstr>50, 0, 1, 1</vt:lpwstr>
  </property>
</Properties>
</file>