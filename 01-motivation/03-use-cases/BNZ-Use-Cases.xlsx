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Work\BNZ\ai-platform-architecture\01-motivation\03-use-cases\use-case-prioritisation\"/>
    </mc:Choice>
  </mc:AlternateContent>
  <xr:revisionPtr revIDLastSave="0" documentId="8_{152B2589-49FA-4640-8181-5535024436DA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1. Dashboard" sheetId="7" r:id="rId1"/>
    <sheet name="2. Use Cases" sheetId="1" r:id="rId2"/>
    <sheet name="3. DVF Filtering" sheetId="2" r:id="rId3"/>
    <sheet name="4. WSJF Scoring" sheetId="3" r:id="rId4"/>
    <sheet name="5. Dependencies Schedule" sheetId="4" r:id="rId5"/>
    <sheet name="6. Portfolio View" sheetId="5" r:id="rId6"/>
    <sheet name="7. Solutions" sheetId="9" r:id="rId7"/>
    <sheet name="8. Scoring Guidelines" sheetId="6" r:id="rId8"/>
  </sheets>
  <definedNames>
    <definedName name="BusinessValueTable">'8. Scoring Guidelines'!$B$5:$E$11</definedName>
    <definedName name="BusinessValueTerms">'8. Scoring Guidelines'!$B$5:$B$11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3" l="1"/>
  <c r="C5" i="3"/>
  <c r="F5" i="3" s="1"/>
  <c r="C6" i="3"/>
  <c r="C7" i="3"/>
  <c r="C8" i="3"/>
  <c r="C9" i="3"/>
  <c r="F9" i="3" s="1"/>
  <c r="C10" i="3"/>
  <c r="F10" i="3" s="1"/>
  <c r="D10" i="5" s="1"/>
  <c r="F10" i="5" s="1"/>
  <c r="H10" i="5" s="1"/>
  <c r="C11" i="3"/>
  <c r="F11" i="3" s="1"/>
  <c r="C12" i="3"/>
  <c r="F12" i="3" s="1"/>
  <c r="C13" i="3"/>
  <c r="F13" i="3" s="1"/>
  <c r="C14" i="3"/>
  <c r="F14" i="3" s="1"/>
  <c r="C15" i="3"/>
  <c r="F15" i="3" s="1"/>
  <c r="C16" i="3"/>
  <c r="F16" i="3" s="1"/>
  <c r="C17" i="3"/>
  <c r="F17" i="3" s="1"/>
  <c r="C18" i="3"/>
  <c r="F18" i="3" s="1"/>
  <c r="C19" i="3"/>
  <c r="F19" i="3" s="1"/>
  <c r="C20" i="3"/>
  <c r="F20" i="3" s="1"/>
  <c r="C21" i="3"/>
  <c r="F21" i="3" s="1"/>
  <c r="C22" i="3"/>
  <c r="F22" i="3" s="1"/>
  <c r="C23" i="3"/>
  <c r="F23" i="3" s="1"/>
  <c r="C24" i="3"/>
  <c r="F24" i="3" s="1"/>
  <c r="C25" i="3"/>
  <c r="F25" i="3" s="1"/>
  <c r="C26" i="3"/>
  <c r="F26" i="3" s="1"/>
  <c r="C3" i="3"/>
  <c r="F3" i="3" s="1"/>
  <c r="D3" i="5" s="1"/>
  <c r="F3" i="5" s="1"/>
  <c r="H3" i="5" s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" i="9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3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H7" i="3"/>
  <c r="F4" i="3"/>
  <c r="D4" i="5" s="1"/>
  <c r="F4" i="5" s="1"/>
  <c r="H4" i="5" s="1"/>
  <c r="F6" i="3"/>
  <c r="D6" i="5" s="1"/>
  <c r="F6" i="5" s="1"/>
  <c r="H6" i="5" s="1"/>
  <c r="F7" i="3"/>
  <c r="D7" i="5" s="1"/>
  <c r="F7" i="5" s="1"/>
  <c r="H7" i="5" s="1"/>
  <c r="F8" i="3"/>
  <c r="D8" i="5" s="1"/>
  <c r="F8" i="5" s="1"/>
  <c r="H8" i="5" s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3" i="3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3" i="2"/>
  <c r="B4" i="2"/>
  <c r="B3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D14" i="7"/>
  <c r="D13" i="7"/>
  <c r="D12" i="7"/>
  <c r="D11" i="7"/>
  <c r="B11" i="7"/>
  <c r="D10" i="7"/>
  <c r="B10" i="7"/>
  <c r="D9" i="7"/>
  <c r="B9" i="7"/>
  <c r="D8" i="7"/>
  <c r="B8" i="7"/>
  <c r="D7" i="7"/>
  <c r="B7" i="7"/>
  <c r="D6" i="7"/>
  <c r="D5" i="7"/>
  <c r="B4" i="7"/>
  <c r="I26" i="5"/>
  <c r="E26" i="5"/>
  <c r="A26" i="5"/>
  <c r="I25" i="5"/>
  <c r="E25" i="5"/>
  <c r="A25" i="5"/>
  <c r="I24" i="5"/>
  <c r="E24" i="5"/>
  <c r="A24" i="5"/>
  <c r="I23" i="5"/>
  <c r="E23" i="5"/>
  <c r="A23" i="5"/>
  <c r="I22" i="5"/>
  <c r="E22" i="5"/>
  <c r="A22" i="5"/>
  <c r="I21" i="5"/>
  <c r="E21" i="5"/>
  <c r="A21" i="5"/>
  <c r="I20" i="5"/>
  <c r="E20" i="5"/>
  <c r="A20" i="5"/>
  <c r="I19" i="5"/>
  <c r="E19" i="5"/>
  <c r="A19" i="5"/>
  <c r="I18" i="5"/>
  <c r="E18" i="5"/>
  <c r="A18" i="5"/>
  <c r="I17" i="5"/>
  <c r="E17" i="5"/>
  <c r="A17" i="5"/>
  <c r="I16" i="5"/>
  <c r="E16" i="5"/>
  <c r="A16" i="5"/>
  <c r="I15" i="5"/>
  <c r="E15" i="5"/>
  <c r="A15" i="5"/>
  <c r="I14" i="5"/>
  <c r="E14" i="5"/>
  <c r="A14" i="5"/>
  <c r="I13" i="5"/>
  <c r="E13" i="5"/>
  <c r="A13" i="5"/>
  <c r="I12" i="5"/>
  <c r="E12" i="5"/>
  <c r="A12" i="5"/>
  <c r="I11" i="5"/>
  <c r="E11" i="5"/>
  <c r="A11" i="5"/>
  <c r="I10" i="5"/>
  <c r="E10" i="5"/>
  <c r="A10" i="5"/>
  <c r="I9" i="5"/>
  <c r="E9" i="5"/>
  <c r="A9" i="5"/>
  <c r="I8" i="5"/>
  <c r="E8" i="5"/>
  <c r="A8" i="5"/>
  <c r="I7" i="5"/>
  <c r="E7" i="5"/>
  <c r="A7" i="5"/>
  <c r="I6" i="5"/>
  <c r="E6" i="5"/>
  <c r="A6" i="5"/>
  <c r="I5" i="5"/>
  <c r="E5" i="5"/>
  <c r="A5" i="5"/>
  <c r="I4" i="5"/>
  <c r="E4" i="5"/>
  <c r="A4" i="5"/>
  <c r="I3" i="5"/>
  <c r="E3" i="5"/>
  <c r="A3" i="5"/>
  <c r="B26" i="4"/>
  <c r="A26" i="4"/>
  <c r="B25" i="4"/>
  <c r="A25" i="4"/>
  <c r="B24" i="4"/>
  <c r="A24" i="4"/>
  <c r="B23" i="4"/>
  <c r="A23" i="4"/>
  <c r="B22" i="4"/>
  <c r="A22" i="4"/>
  <c r="B21" i="4"/>
  <c r="A21" i="4"/>
  <c r="B20" i="4"/>
  <c r="A20" i="4"/>
  <c r="B19" i="4"/>
  <c r="A19" i="4"/>
  <c r="B18" i="4"/>
  <c r="A18" i="4"/>
  <c r="B17" i="4"/>
  <c r="A17" i="4"/>
  <c r="B16" i="4"/>
  <c r="A16" i="4"/>
  <c r="B15" i="4"/>
  <c r="A15" i="4"/>
  <c r="B14" i="4"/>
  <c r="A14" i="4"/>
  <c r="B13" i="4"/>
  <c r="A13" i="4"/>
  <c r="B12" i="4"/>
  <c r="A12" i="4"/>
  <c r="B11" i="4"/>
  <c r="A11" i="4"/>
  <c r="B10" i="4"/>
  <c r="A10" i="4"/>
  <c r="B9" i="4"/>
  <c r="A9" i="4"/>
  <c r="B8" i="4"/>
  <c r="A8" i="4"/>
  <c r="B7" i="4"/>
  <c r="A7" i="4"/>
  <c r="B6" i="4"/>
  <c r="A6" i="4"/>
  <c r="B5" i="4"/>
  <c r="A5" i="4"/>
  <c r="B4" i="4"/>
  <c r="A4" i="4"/>
  <c r="B3" i="4"/>
  <c r="A3" i="4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H6" i="3" l="1"/>
  <c r="D5" i="5"/>
  <c r="F5" i="5" s="1"/>
  <c r="H5" i="5" s="1"/>
  <c r="H5" i="3"/>
  <c r="D9" i="5"/>
  <c r="F9" i="5" s="1"/>
  <c r="H9" i="5" s="1"/>
  <c r="H9" i="3"/>
  <c r="H8" i="3"/>
  <c r="D23" i="5"/>
  <c r="F23" i="5" s="1"/>
  <c r="H23" i="5" s="1"/>
  <c r="H23" i="3"/>
  <c r="H11" i="3"/>
  <c r="D11" i="5"/>
  <c r="F11" i="5" s="1"/>
  <c r="H11" i="5" s="1"/>
  <c r="D26" i="5"/>
  <c r="F26" i="5" s="1"/>
  <c r="H26" i="5" s="1"/>
  <c r="H26" i="3"/>
  <c r="D25" i="5"/>
  <c r="F25" i="5" s="1"/>
  <c r="H25" i="5" s="1"/>
  <c r="H25" i="3"/>
  <c r="D24" i="5"/>
  <c r="F24" i="5" s="1"/>
  <c r="H24" i="5" s="1"/>
  <c r="H24" i="3"/>
  <c r="D22" i="5"/>
  <c r="F22" i="5" s="1"/>
  <c r="H22" i="5" s="1"/>
  <c r="H22" i="3"/>
  <c r="D21" i="5"/>
  <c r="F21" i="5" s="1"/>
  <c r="H21" i="5" s="1"/>
  <c r="H21" i="3"/>
  <c r="D20" i="5"/>
  <c r="F20" i="5" s="1"/>
  <c r="H20" i="5" s="1"/>
  <c r="H20" i="3"/>
  <c r="D19" i="5"/>
  <c r="F19" i="5" s="1"/>
  <c r="H19" i="5" s="1"/>
  <c r="H19" i="3"/>
  <c r="D18" i="5"/>
  <c r="F18" i="5" s="1"/>
  <c r="H18" i="5" s="1"/>
  <c r="H18" i="3"/>
  <c r="D17" i="5"/>
  <c r="F17" i="5" s="1"/>
  <c r="H17" i="5" s="1"/>
  <c r="H17" i="3"/>
  <c r="D16" i="5"/>
  <c r="F16" i="5" s="1"/>
  <c r="H16" i="5" s="1"/>
  <c r="H16" i="3"/>
  <c r="D15" i="5"/>
  <c r="F15" i="5" s="1"/>
  <c r="H15" i="5" s="1"/>
  <c r="H15" i="3"/>
  <c r="D14" i="5"/>
  <c r="F14" i="5" s="1"/>
  <c r="H14" i="5" s="1"/>
  <c r="H14" i="3"/>
  <c r="D13" i="5"/>
  <c r="F13" i="5" s="1"/>
  <c r="H13" i="5" s="1"/>
  <c r="H13" i="3"/>
  <c r="D12" i="5"/>
  <c r="F12" i="5" s="1"/>
  <c r="H12" i="5" s="1"/>
  <c r="H12" i="3"/>
  <c r="H4" i="3"/>
  <c r="H10" i="3"/>
  <c r="H3" i="3"/>
  <c r="B6" i="7"/>
  <c r="B5" i="7"/>
  <c r="B17" i="7" l="1"/>
  <c r="B16" i="7"/>
  <c r="I3" i="3"/>
  <c r="I7" i="3"/>
  <c r="C7" i="5" s="1"/>
  <c r="I16" i="3"/>
  <c r="I18" i="3"/>
  <c r="C18" i="5" s="1"/>
  <c r="I25" i="3"/>
  <c r="I8" i="3"/>
  <c r="I21" i="3"/>
  <c r="I6" i="3"/>
  <c r="I9" i="3"/>
  <c r="C9" i="4" s="1"/>
  <c r="I17" i="3"/>
  <c r="I20" i="3"/>
  <c r="I24" i="3"/>
  <c r="I10" i="3"/>
  <c r="I13" i="3"/>
  <c r="C13" i="5" s="1"/>
  <c r="I5" i="3"/>
  <c r="I11" i="3"/>
  <c r="C11" i="5" s="1"/>
  <c r="I23" i="3"/>
  <c r="I12" i="3"/>
  <c r="I26" i="3"/>
  <c r="C26" i="5" s="1"/>
  <c r="I14" i="3"/>
  <c r="I15" i="3"/>
  <c r="I19" i="3"/>
  <c r="C19" i="5" s="1"/>
  <c r="I22" i="3"/>
  <c r="I4" i="3"/>
  <c r="C4" i="5" s="1"/>
  <c r="B14" i="7"/>
  <c r="B15" i="7"/>
  <c r="C7" i="4"/>
  <c r="C5" i="4" l="1"/>
  <c r="C5" i="5"/>
  <c r="C12" i="5"/>
  <c r="C12" i="4"/>
  <c r="C25" i="5"/>
  <c r="C25" i="4"/>
  <c r="C14" i="5"/>
  <c r="C14" i="4"/>
  <c r="C10" i="4"/>
  <c r="C10" i="5"/>
  <c r="C17" i="4"/>
  <c r="C17" i="5"/>
  <c r="C9" i="5"/>
  <c r="C11" i="4"/>
  <c r="C4" i="4"/>
  <c r="C8" i="5"/>
  <c r="C8" i="4"/>
  <c r="C26" i="4"/>
  <c r="C13" i="4"/>
  <c r="C16" i="4"/>
  <c r="C16" i="5"/>
  <c r="C23" i="4"/>
  <c r="C23" i="5"/>
  <c r="C24" i="4"/>
  <c r="C24" i="5"/>
  <c r="C18" i="4"/>
  <c r="C21" i="4"/>
  <c r="C21" i="5"/>
  <c r="C19" i="4"/>
  <c r="C22" i="5"/>
  <c r="C22" i="4"/>
  <c r="C15" i="5"/>
  <c r="C15" i="4"/>
  <c r="C20" i="5"/>
  <c r="C20" i="4"/>
  <c r="C6" i="4"/>
  <c r="C6" i="5"/>
  <c r="C3" i="5"/>
  <c r="C3" i="4"/>
</calcChain>
</file>

<file path=xl/sharedStrings.xml><?xml version="1.0" encoding="utf-8"?>
<sst xmlns="http://schemas.openxmlformats.org/spreadsheetml/2006/main" count="550" uniqueCount="306">
  <si>
    <t>ID</t>
  </si>
  <si>
    <t>Name</t>
  </si>
  <si>
    <t>Summary</t>
  </si>
  <si>
    <t>Category</t>
  </si>
  <si>
    <t>Strategic Theme</t>
  </si>
  <si>
    <t>AI Type</t>
  </si>
  <si>
    <t>FrontLine - Partnership Banking</t>
  </si>
  <si>
    <t>Customer &amp; Relationship Management</t>
  </si>
  <si>
    <t>Customer Experience</t>
  </si>
  <si>
    <t>Embedded/Vendor AI</t>
  </si>
  <si>
    <t>Finance</t>
  </si>
  <si>
    <t>Finance &amp; Accounting</t>
  </si>
  <si>
    <t>Operational Efficiency</t>
  </si>
  <si>
    <t>Generative AI</t>
  </si>
  <si>
    <t>Analytics and Reporting</t>
  </si>
  <si>
    <t>Data &amp; Analytics</t>
  </si>
  <si>
    <t>Data-Driven Decisions</t>
  </si>
  <si>
    <t>Credit Risk</t>
  </si>
  <si>
    <t>Risk Management</t>
  </si>
  <si>
    <t>Risk &amp; Compliance</t>
  </si>
  <si>
    <t>ML/AI</t>
  </si>
  <si>
    <t>Lending Ops</t>
  </si>
  <si>
    <t>Lending &amp; Credit Operations</t>
  </si>
  <si>
    <t>Document AI</t>
  </si>
  <si>
    <t>HyperPersonalization</t>
  </si>
  <si>
    <t>Marketing &amp; Personalization</t>
  </si>
  <si>
    <t>Contact Centre</t>
  </si>
  <si>
    <t>Customer Service &amp; Support</t>
  </si>
  <si>
    <t>Security AI</t>
  </si>
  <si>
    <t>Cybersecurity &amp; Threat Detection</t>
  </si>
  <si>
    <t>Data Products</t>
  </si>
  <si>
    <t>SDLC</t>
  </si>
  <si>
    <t>Software Development &amp; Engineering</t>
  </si>
  <si>
    <t>Code AI</t>
  </si>
  <si>
    <t>Fincrime</t>
  </si>
  <si>
    <t>Compliance &amp; Financial Crime</t>
  </si>
  <si>
    <t>QA/QC</t>
  </si>
  <si>
    <t>Quality Assurance &amp; Compliance</t>
  </si>
  <si>
    <t>Fraud Ops</t>
  </si>
  <si>
    <t>Fraud Detection &amp; Prevention</t>
  </si>
  <si>
    <t>Onboarding</t>
  </si>
  <si>
    <t>Customer Onboarding &amp; KYC</t>
  </si>
  <si>
    <t>Risk Functions</t>
  </si>
  <si>
    <t>IT Ops</t>
  </si>
  <si>
    <t>IT Operations &amp; Service Management</t>
  </si>
  <si>
    <t>AIOps</t>
  </si>
  <si>
    <t>FrontLine - CIB</t>
  </si>
  <si>
    <t>Procurement</t>
  </si>
  <si>
    <t>Procurement &amp; Supply Chain</t>
  </si>
  <si>
    <t>Multi-Agent AI</t>
  </si>
  <si>
    <t>Payment Disputes</t>
  </si>
  <si>
    <t>Payments &amp; Dispute Resolution</t>
  </si>
  <si>
    <t>Controls Testing</t>
  </si>
  <si>
    <t>Audit &amp; Controls Testing</t>
  </si>
  <si>
    <t>Wholesale Underwriting</t>
  </si>
  <si>
    <t>Learning Content</t>
  </si>
  <si>
    <t>Learning &amp; Development</t>
  </si>
  <si>
    <t>Collection Management</t>
  </si>
  <si>
    <t>Collections &amp; Recovery</t>
  </si>
  <si>
    <t>Front-end App Personalisation</t>
  </si>
  <si>
    <t>INSTRUCTIONS: Score each dimension 1-5. Pass requires ALL dimensions ≥3. 5=Excellent, 4=Good, 3=Acceptable, 2=Poor, 1=Very Poor</t>
  </si>
  <si>
    <t>Desirability (1-5)</t>
  </si>
  <si>
    <t>Viability (1-5)</t>
  </si>
  <si>
    <t>Feasibility (1-5)</t>
  </si>
  <si>
    <t>DVF Total</t>
  </si>
  <si>
    <t>DVF Status</t>
  </si>
  <si>
    <t>Notes</t>
  </si>
  <si>
    <t>Time Criticality</t>
  </si>
  <si>
    <t>Cost of Delay</t>
  </si>
  <si>
    <t>WSJF Score</t>
  </si>
  <si>
    <t>WSJF Rank</t>
  </si>
  <si>
    <t>INSTRUCTIONS: Document dependencies. Assign waves: Wave 1 (Q1-Q3 2026), Wave 2 (Q4 2026-Q3 2027), Wave 3 (Q4 2027-Q2 2028)</t>
  </si>
  <si>
    <t>Prerequisites (IDs)</t>
  </si>
  <si>
    <t>Enables (IDs)</t>
  </si>
  <si>
    <t>Earliest Start</t>
  </si>
  <si>
    <t>Recommended Wave</t>
  </si>
  <si>
    <t>Rationale</t>
  </si>
  <si>
    <t>Value Tier</t>
  </si>
  <si>
    <t>Effort Tier</t>
  </si>
  <si>
    <t>Quadrant</t>
  </si>
  <si>
    <t>Wave</t>
  </si>
  <si>
    <t>Top 10</t>
  </si>
  <si>
    <t>Top 5</t>
  </si>
  <si>
    <t>SCORE</t>
  </si>
  <si>
    <t>DESCRIPTION</t>
  </si>
  <si>
    <t>EXAMPLES</t>
  </si>
  <si>
    <t>20</t>
  </si>
  <si>
    <t>&gt;$5M annual benefit OR &gt;20% efficiency gain</t>
  </si>
  <si>
    <t>Major revenue driver, critical customer experience</t>
  </si>
  <si>
    <t>13</t>
  </si>
  <si>
    <t>$2-5M benefit OR 10-20% efficiency</t>
  </si>
  <si>
    <t>Significant cost savings, important customer feature</t>
  </si>
  <si>
    <t>8</t>
  </si>
  <si>
    <t>$500K-2M benefit OR 5-10% efficiency</t>
  </si>
  <si>
    <t>Meaningful operational improvement</t>
  </si>
  <si>
    <t>5</t>
  </si>
  <si>
    <t>$100K-500K benefit OR 2-5% efficiency</t>
  </si>
  <si>
    <t>Moderate business value</t>
  </si>
  <si>
    <t>3</t>
  </si>
  <si>
    <t>$50K-100K benefit OR 1-2% efficiency</t>
  </si>
  <si>
    <t>Small but tangible benefit</t>
  </si>
  <si>
    <t>2</t>
  </si>
  <si>
    <t>&lt;$50K benefit OR &lt;1% efficiency</t>
  </si>
  <si>
    <t>Minimal quantified benefit</t>
  </si>
  <si>
    <t>1</t>
  </si>
  <si>
    <t>Negligible benefit</t>
  </si>
  <si>
    <t>No clear business value</t>
  </si>
  <si>
    <t>Fixed regulatory deadline &lt;6 months OR major competitive threat</t>
  </si>
  <si>
    <t>Compliance deadline with penalties</t>
  </si>
  <si>
    <t>Fixed deadline &lt;12 months OR significant competitive pressure</t>
  </si>
  <si>
    <t>Market window closing</t>
  </si>
  <si>
    <t>Preferred timing &lt;12 months OR moderate competitive benefit</t>
  </si>
  <si>
    <t>Seasonal opportunity</t>
  </si>
  <si>
    <t>Beneficial timing &lt;18 months</t>
  </si>
  <si>
    <t>Loose timing preference</t>
  </si>
  <si>
    <t>Timing preference &lt;24 months</t>
  </si>
  <si>
    <t>Minor timing consideration</t>
  </si>
  <si>
    <t>No specific timing driver</t>
  </si>
  <si>
    <t>Flexible timing</t>
  </si>
  <si>
    <t>Can be done anytime</t>
  </si>
  <si>
    <t>No urgency</t>
  </si>
  <si>
    <t>Eliminates critical risk OR enables 5+ use cases</t>
  </si>
  <si>
    <t>Major security vulnerability, platform foundation</t>
  </si>
  <si>
    <t>Significantly reduces high risk OR enables 3-4 use cases</t>
  </si>
  <si>
    <t>Compliance risk, key infrastructure</t>
  </si>
  <si>
    <t>Reduces moderate risk OR enables 2 use cases</t>
  </si>
  <si>
    <t>Technical debt, reusable component</t>
  </si>
  <si>
    <t>Reduces minor risk OR enables 1 use case</t>
  </si>
  <si>
    <t>Small risk mitigation</t>
  </si>
  <si>
    <t>Small risk reduction OR creates reusable component</t>
  </si>
  <si>
    <t>Incremental improvement</t>
  </si>
  <si>
    <t>Minimal risk impact</t>
  </si>
  <si>
    <t>Negligible risk reduction</t>
  </si>
  <si>
    <t>No risk reduction or enabling capability</t>
  </si>
  <si>
    <t>No strategic value</t>
  </si>
  <si>
    <t>18+ months OR &gt;100 person-months</t>
  </si>
  <si>
    <t>Enterprise transformation</t>
  </si>
  <si>
    <t>12-18 months OR 50-100 person-months</t>
  </si>
  <si>
    <t>Major program</t>
  </si>
  <si>
    <t>6-12 months OR 20-50 person-months</t>
  </si>
  <si>
    <t>Significant project</t>
  </si>
  <si>
    <t>3-6 months OR 10-20 person-months</t>
  </si>
  <si>
    <t>Standard project</t>
  </si>
  <si>
    <t>1-3 months OR 5-10 person-months</t>
  </si>
  <si>
    <t>Small project</t>
  </si>
  <si>
    <t>&lt;1 month OR &lt;5 person-months</t>
  </si>
  <si>
    <t>Very small initiative</t>
  </si>
  <si>
    <t>Minimal effort</t>
  </si>
  <si>
    <t>Trivial change</t>
  </si>
  <si>
    <t>DIMENSION</t>
  </si>
  <si>
    <t>KEY QUESTIONS</t>
  </si>
  <si>
    <t>Desirability</t>
  </si>
  <si>
    <t>Does it solve a critical pain point? Is demand validated?</t>
  </si>
  <si>
    <t>4</t>
  </si>
  <si>
    <t>Is there user research supporting this?</t>
  </si>
  <si>
    <t>Do users see value in this?</t>
  </si>
  <si>
    <t>Is this an assumption or validated need?</t>
  </si>
  <si>
    <t>Are we solving the wrong problem?</t>
  </si>
  <si>
    <t>Viability</t>
  </si>
  <si>
    <t>Does it align with strategy? Is ROI clear?</t>
  </si>
  <si>
    <t>Can we afford it? Does it fit our model?</t>
  </si>
  <si>
    <t>Is the business case sound?</t>
  </si>
  <si>
    <t>Are the financials uncertain?</t>
  </si>
  <si>
    <t>Can we justify the investment?</t>
  </si>
  <si>
    <t>Feasibility</t>
  </si>
  <si>
    <t>Do we have the technology, data, and skills?</t>
  </si>
  <si>
    <t>Are there any technical blockers?</t>
  </si>
  <si>
    <t>Is it technically possible with current capabilities?</t>
  </si>
  <si>
    <t>Do we need new technology or data?</t>
  </si>
  <si>
    <t>BNZ AI USE CASE PRIORITIZATION DASHBOARD</t>
  </si>
  <si>
    <t>SUMMARY STATISTICS</t>
  </si>
  <si>
    <t>TOP 10 USE CASES (BY WSJF RANK)</t>
  </si>
  <si>
    <t>Total Use Cases:</t>
  </si>
  <si>
    <t>Rank</t>
  </si>
  <si>
    <t>DVF Pass:</t>
  </si>
  <si>
    <t>DVF Fail:</t>
  </si>
  <si>
    <t>Top 10 Count:</t>
  </si>
  <si>
    <t>Top 5 Count:</t>
  </si>
  <si>
    <t>Wave 1 Use Cases:</t>
  </si>
  <si>
    <t>Wave 2 Use Cases:</t>
  </si>
  <si>
    <t>Wave 3 Use Cases:</t>
  </si>
  <si>
    <t>PORTFOLIO QUADRANTS</t>
  </si>
  <si>
    <t>Quick Wins:</t>
  </si>
  <si>
    <t>Strategic Bets:</t>
  </si>
  <si>
    <t>Fill-ins:</t>
  </si>
  <si>
    <t>Avoid:</t>
  </si>
  <si>
    <t>UC01</t>
  </si>
  <si>
    <t>UC02</t>
  </si>
  <si>
    <t>UC03</t>
  </si>
  <si>
    <t>UC04</t>
  </si>
  <si>
    <t>UC05</t>
  </si>
  <si>
    <t>UC06</t>
  </si>
  <si>
    <t>UC07</t>
  </si>
  <si>
    <t>UC08</t>
  </si>
  <si>
    <t>UC09</t>
  </si>
  <si>
    <t>UC10</t>
  </si>
  <si>
    <t>UC11</t>
  </si>
  <si>
    <t>UC12</t>
  </si>
  <si>
    <t>UC13</t>
  </si>
  <si>
    <t>UC14</t>
  </si>
  <si>
    <t>UC15</t>
  </si>
  <si>
    <t>UC16</t>
  </si>
  <si>
    <t>UC17</t>
  </si>
  <si>
    <t>UC18</t>
  </si>
  <si>
    <t>UC19</t>
  </si>
  <si>
    <t>UC20</t>
  </si>
  <si>
    <t>UC21</t>
  </si>
  <si>
    <t>UC22</t>
  </si>
  <si>
    <t>UC23</t>
  </si>
  <si>
    <t>UC24</t>
  </si>
  <si>
    <t>Business Value</t>
  </si>
  <si>
    <t>Risk Reduction / Opptunity Enable</t>
  </si>
  <si>
    <t>Initiative Size</t>
  </si>
  <si>
    <t>INSTRUCTIONS: Use Fibonacci sizing (1,2,3,5,8,13,20). WSJF = Cost of Delay ÷ Initiative Size. Higher WSJF = Higher Priority.</t>
  </si>
  <si>
    <t>Iniative Size</t>
  </si>
  <si>
    <t>No</t>
  </si>
  <si>
    <t>INSTRUCTIONS: Portfolio view with automatic tier calculations. Mark Top 10 and Top 5 checkboxes. Add  Notes for presentation.</t>
  </si>
  <si>
    <t>Risk Reduction / Opportunity Enablement</t>
  </si>
  <si>
    <t>SCORING GUIDELINES (WSJF)</t>
  </si>
  <si>
    <t>SCORING GUIDELINES (DVF )</t>
  </si>
  <si>
    <t>Aspect</t>
  </si>
  <si>
    <t>GenAI-driven RM solutions for deepening banker-customer relationships.</t>
  </si>
  <si>
    <t>Transform raw financial data into well-structured reports (P&amp;L, balance sheets).</t>
  </si>
  <si>
    <t>AI builds on BI by turning historical data into proactive guidance.</t>
  </si>
  <si>
    <t>GenAI-driven Credit Risk solutions for data-driven decision-making.</t>
  </si>
  <si>
    <t>AI Document Processing for Loan Applications &amp; Compliance.</t>
  </si>
  <si>
    <t>Generative AI enables new customer relevance through marketing reinvention.</t>
  </si>
  <si>
    <t>Generate call summaries, agent-assist features, customer self-service.</t>
  </si>
  <si>
    <t>Use of AI to identify threats earlier with higher accuracy.</t>
  </si>
  <si>
    <t>Extend GenAI intervention to accelerate data product creation.</t>
  </si>
  <si>
    <t>GenAI can automate key SDLC tasks, enhancing productivity.</t>
  </si>
  <si>
    <t>Name screening, OCDD, ECDD and TM narrative writing.</t>
  </si>
  <si>
    <t>Automate data validation, detecting errors, ensuring compliance.</t>
  </si>
  <si>
    <t>AI support for case officers through pattern detection and evidence gathering.</t>
  </si>
  <si>
    <t>AI streamlines onboarding by automating ID verification, KYC checks.</t>
  </si>
  <si>
    <t>AI reduces Operational Risk by identifying anomalies.</t>
  </si>
  <si>
    <t>Evolution of Ticketing Process and Smart Routing.</t>
  </si>
  <si>
    <t>GenAI-driven RM solutions for Corporate and Investment Banking.</t>
  </si>
  <si>
    <t>Multi-Agent System for End-to-end Procurement process optimization.</t>
  </si>
  <si>
    <t>Automate end-to-end lifecycle of card payment disputes.</t>
  </si>
  <si>
    <t>Automate IT and business control testing.</t>
  </si>
  <si>
    <t>End-to-end transformation of CIB Risk Underwriting process.</t>
  </si>
  <si>
    <t>AI accelerates content creation by generating lessons and quizzes.</t>
  </si>
  <si>
    <t>AI optimises collections by predicting payment likelihood.</t>
  </si>
  <si>
    <t>Use of GenAI in mobile app for hyper personalisation.</t>
  </si>
  <si>
    <t>Increased revenue through improved cross-sell / upsell effectiveness; Enhanced customer satisfaction and retention; Reduced relationship manager preparation time; Improved customer lifetime value; Better risk identification and proactive engagement.</t>
  </si>
  <si>
    <t>Reduced month-end close time; Improved accuracy and reduced manual errors; Faster decision-making with real-time insights; Enhanced regulatory compliance; Reduced FTE costs in financial reporting.</t>
  </si>
  <si>
    <t>Democratized data access reducing analyst dependency; Proactive decision-making with predictive capabilities; Reduced report generation time from days to minutes; Improved business agility and responsiveness; Enhanced data-driven culture across organization.</t>
  </si>
  <si>
    <t>Reduced credit losses through better risk assessment; Faster loan approval times improving customer experience; Optimized pricing increasing profitability; Enhanced portfolio monitoring reducing defaults; Improved regulatory compliance and capital efficiency.</t>
  </si>
  <si>
    <t>Processing time reduction for loan applications; Improved accuracy reducing rework; Enhanced compliance with automated validation; Reduced operational costs; Faster time-to-yes improving customer satisfaction</t>
  </si>
  <si>
    <t>Increased campaign conversion rates; Higher customer engagement and satisfaction scores; Improved product adoption; Reduced customer churn; Enhanced brand loyalty and NPS scores</t>
  </si>
  <si>
    <t>Reduced average handle time; Improved first call resolution; Enhanced customer satisfaction (CSAT) scores; Reduced agent training time; Lower operational costs through automation of inquiries</t>
  </si>
  <si>
    <t>Reduced threat detection time from hours to minutes; reduction in false positives; Prevented potential losses from cyber attacks; Enhanced regulatory compliance and risk management; Improved security team efficiency.</t>
  </si>
  <si>
    <t>Accelerated data product delivery; Improved data quality and consistency; Enhanced data discoverability and reusability; Reduced time-to-insight for business users; Lower data engineering costs.</t>
  </si>
  <si>
    <t>Developer productivity increased; Faster time-to-market; Reduced bugs and security vulnerabilities; Improved code quality and maintainability; Lower technical debt accumulation.</t>
  </si>
  <si>
    <t>Reduced investigation time; Improved detection accuracy reducing false positives; Enhanced regulatory compliance and audit readiness; Lower operational costs; Faster filing and response times.</t>
  </si>
  <si>
    <t>Reduced manual QA effort; Improved data quality and accuracy; Faster identification of high-risk issues; Enhanced regulatory compliance; Lower operational risk and audit findings.</t>
  </si>
  <si>
    <t>Reduced fraud investigation time; Prevented fraud losses; Improved detection accuracy; Enhanced case officer productivit; Better customer experience with faster resolution.</t>
  </si>
  <si>
    <t>Reduced onboarding time from days to hours; Improved customer experience and conversion rates; Enhanced compliance with automated checks; Lower operational costs; Reduced abandonment rates.</t>
  </si>
  <si>
    <t>Improved risk detection reducing losses; Faster risk assessment and response times; Enhanced regulatory compliance and capital optimization; Reduced manual effort; Better enterprise-wide risk visibility and management.</t>
  </si>
  <si>
    <t>Reduced mean time to resolution (MTTR); Automated resolution of tickets; Improved SLA compliance and user satisfaction; Lower IT support costs; Better workload distribution and resource optimization.</t>
  </si>
  <si>
    <t>Increased wallet share with corporate clients; Enhanced deal win rates; Improved relationship manager productivity; Better market intelligence and competitive positioning; Reduced client attrition and increased loyalty.</t>
  </si>
  <si>
    <t>Cost savings through optimized sourcing; Reduced procurement cycle time; Improved supplier performance and risk management; Enhanced spend visibility and control; Lower invoice processing costs.</t>
  </si>
  <si>
    <t>Reduced dispute resolution time; Improved win rates on chargebacks; Enhanced customer satisfaction with faster resolutions; Lower operational costs; Better compliance with card scheme requirements.</t>
  </si>
  <si>
    <t>Reduced testing effort; Continuous controls monitoring vs periodic testing; Improved control effectiveness and compliance; Earlier detection of control deficiencies; Lower audit costs and faster audit cycles.</t>
  </si>
  <si>
    <t>Reduced underwriting time; Improved risk-adjusted pricing and profitability; Enhanced portfolio quality with continuous monitoring; Faster deal turnaround improving competitiveness; Lower credit losses through better risk assessment.</t>
  </si>
  <si>
    <t>Reduced content creation time; Improved training personalization and effectiveness; Enhanced learning engagement and completion rates; Lower training development costs; Faster time-to-competency for new roles.</t>
  </si>
  <si>
    <t>Improved recovery rates; Reduced collection costs; Better customer treatment and satisfaction; Optimized collector productivity; Lower write-offs through early intervention and targeted strategies.</t>
  </si>
  <si>
    <t>Increased app engagement; Higher product adoption through personalized recommendations; Improved NPS and customer satisfaction scores; Reduced marketing campaign costs; Enhanced brand differentiation with Uber-like experience.</t>
  </si>
  <si>
    <t>Benefits</t>
  </si>
  <si>
    <t>TERM</t>
  </si>
  <si>
    <t>Negligible</t>
  </si>
  <si>
    <t>Minimal</t>
  </si>
  <si>
    <t>Minor</t>
  </si>
  <si>
    <t>Moderate</t>
  </si>
  <si>
    <t>Significant</t>
  </si>
  <si>
    <t>Major</t>
  </si>
  <si>
    <t>Very Significant</t>
  </si>
  <si>
    <t>Opportunity</t>
  </si>
  <si>
    <t>Major &lt; 6 months</t>
  </si>
  <si>
    <t>Significant &lt; 12 months</t>
  </si>
  <si>
    <t>Very Significant &lt; 12 months</t>
  </si>
  <si>
    <t>Moderate &lt; 18 months</t>
  </si>
  <si>
    <t>Minor &lt; 24 months</t>
  </si>
  <si>
    <t>Trivial</t>
  </si>
  <si>
    <t>Excellent</t>
  </si>
  <si>
    <t>Good</t>
  </si>
  <si>
    <t>Acceptable</t>
  </si>
  <si>
    <t>Poor</t>
  </si>
  <si>
    <t>Very Poor</t>
  </si>
  <si>
    <t>Unclear if colleagues or customers want this.</t>
  </si>
  <si>
    <t>Colleagues or customers unlikely to adopt.</t>
  </si>
  <si>
    <t>Strong evidence colleagues or customers want this.</t>
  </si>
  <si>
    <t>Clear colleague or customer demand.</t>
  </si>
  <si>
    <t>Meets minimum colleague or customer needs.</t>
  </si>
  <si>
    <t>Strong financial case, strategic alignment.</t>
  </si>
  <si>
    <t>Clear business case.</t>
  </si>
  <si>
    <t>Financially viable.</t>
  </si>
  <si>
    <t>Weak business case.</t>
  </si>
  <si>
    <t>Not financially viable.</t>
  </si>
  <si>
    <t>All capabilities exist, low technical risk.</t>
  </si>
  <si>
    <t>Minor gaps, manageable risk.</t>
  </si>
  <si>
    <t>Can be built with moderate effort.</t>
  </si>
  <si>
    <t>Significant technical challenges.</t>
  </si>
  <si>
    <t>Major technical blockers.</t>
  </si>
  <si>
    <t>Is this even possible with current BNZ technology?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</si>
</sst>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i/>
      <sz val="11"/>
      <color rgb="FF0070C0"/>
      <name val="Calibri"/>
      <family val="2"/>
    </font>
    <font>
      <b/>
      <sz val="14"/>
      <color rgb="FF1F4E78"/>
      <name val="Calibri"/>
      <family val="2"/>
    </font>
    <font>
      <b/>
      <sz val="16"/>
      <color rgb="FF1F4E78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10"/>
      <color rgb="FFFFFFFF"/>
      <name val="Calibri"/>
      <family val="2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/>
        <bgColor theme="4"/>
      </patternFill>
    </fill>
    <fill>
      <patternFill patternType="solid">
        <fgColor theme="3"/>
        <bgColor rgb="FF1F4E78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6" fillId="0" borderId="0" xfId="0" applyFont="1"/>
    <xf numFmtId="0" fontId="1" fillId="2" borderId="0" xfId="0" applyFont="1" applyFill="1"/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  <xf numFmtId="0" fontId="8" fillId="0" borderId="0" xfId="0" applyFont="1" applyAlignment="1">
      <alignment vertical="top" wrapText="1"/>
    </xf>
    <xf numFmtId="0" fontId="8" fillId="0" borderId="3" xfId="0" applyFont="1" applyBorder="1" applyAlignment="1">
      <alignment horizontal="center" vertical="top" wrapText="1"/>
    </xf>
    <xf numFmtId="0" fontId="2" fillId="0" borderId="0" xfId="0" applyFont="1" applyAlignment="1">
      <alignment horizontal="left" vertical="center" wrapText="1"/>
    </xf>
    <xf numFmtId="0" fontId="0" fillId="0" borderId="0" xfId="0"/>
    <xf numFmtId="0" fontId="5" fillId="0" borderId="0" xfId="0" applyFont="1"/>
    <xf numFmtId="0" fontId="4" fillId="0" borderId="0" xfId="0" applyFont="1" applyAlignment="1">
      <alignment horizontal="center" vertical="center"/>
    </xf>
    <xf numFmtId="0" fontId="0" fillId="3" borderId="4" xfId="0" applyFont="1" applyFill="1" applyBorder="1"/>
    <xf numFmtId="0" fontId="0" fillId="0" borderId="4" xfId="0" applyFont="1" applyBorder="1"/>
    <xf numFmtId="0" fontId="2" fillId="0" borderId="0" xfId="0" applyFont="1" applyFill="1" applyAlignment="1">
      <alignment horizontal="left" vertical="center" wrapText="1"/>
    </xf>
    <xf numFmtId="0" fontId="0" fillId="0" borderId="0" xfId="0" applyFill="1"/>
    <xf numFmtId="0" fontId="1" fillId="0" borderId="2" xfId="0" applyFont="1" applyFill="1" applyBorder="1" applyAlignment="1">
      <alignment horizontal="center" vertical="center" wrapText="1"/>
    </xf>
    <xf numFmtId="0" fontId="0" fillId="0" borderId="0" xfId="0" applyFill="1"/>
    <xf numFmtId="0" fontId="0" fillId="0" borderId="0" xfId="0" applyFill="1" applyAlignment="1">
      <alignment horizontal="center"/>
    </xf>
    <xf numFmtId="0" fontId="0" fillId="0" borderId="0" xfId="0" applyFill="1" applyAlignment="1">
      <alignment vertical="top" wrapText="1"/>
    </xf>
    <xf numFmtId="0" fontId="1" fillId="0" borderId="2" xfId="0" applyFont="1" applyFill="1" applyBorder="1" applyAlignment="1">
      <alignment horizontal="center" vertical="top" wrapText="1"/>
    </xf>
    <xf numFmtId="0" fontId="0" fillId="0" borderId="4" xfId="0" applyFont="1" applyFill="1" applyBorder="1" applyAlignment="1">
      <alignment vertical="top" wrapText="1"/>
    </xf>
    <xf numFmtId="0" fontId="0" fillId="0" borderId="0" xfId="0" applyFill="1" applyAlignment="1">
      <alignment horizontal="center" vertical="top" wrapText="1"/>
    </xf>
    <xf numFmtId="2" fontId="0" fillId="0" borderId="0" xfId="0" applyNumberFormat="1" applyFill="1" applyAlignment="1">
      <alignment horizontal="center" vertical="top" wrapText="1"/>
    </xf>
    <xf numFmtId="0" fontId="2" fillId="0" borderId="0" xfId="0" applyFont="1" applyFill="1" applyAlignment="1">
      <alignment horizontal="left" vertical="top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3" fillId="0" borderId="0" xfId="0" applyFont="1" applyAlignment="1">
      <alignment vertical="top"/>
    </xf>
    <xf numFmtId="0" fontId="8" fillId="0" borderId="3" xfId="0" applyFont="1" applyFill="1" applyBorder="1" applyAlignment="1">
      <alignment horizontal="center" vertical="top" wrapText="1"/>
    </xf>
    <xf numFmtId="1" fontId="1" fillId="0" borderId="2" xfId="0" applyNumberFormat="1" applyFont="1" applyFill="1" applyBorder="1" applyAlignment="1">
      <alignment horizontal="center" vertical="center" wrapText="1"/>
    </xf>
    <xf numFmtId="1" fontId="0" fillId="0" borderId="0" xfId="0" applyNumberFormat="1" applyFill="1" applyAlignment="1">
      <alignment horizontal="center"/>
    </xf>
    <xf numFmtId="0" fontId="8" fillId="0" borderId="5" xfId="0" applyFont="1" applyBorder="1" applyAlignment="1">
      <alignment horizontal="center" vertical="top" wrapText="1"/>
    </xf>
    <xf numFmtId="0" fontId="8" fillId="0" borderId="6" xfId="0" applyFont="1" applyBorder="1" applyAlignment="1">
      <alignment horizontal="center" vertical="top" wrapText="1"/>
    </xf>
    <xf numFmtId="0" fontId="0" fillId="0" borderId="0" xfId="0" applyAlignment="1">
      <alignment horizontal="center" wrapText="1"/>
    </xf>
    <xf numFmtId="0" fontId="8" fillId="0" borderId="5" xfId="0" applyFont="1" applyBorder="1" applyAlignment="1">
      <alignment vertical="top" wrapText="1"/>
    </xf>
    <xf numFmtId="0" fontId="7" fillId="4" borderId="1" xfId="0" applyFont="1" applyFill="1" applyBorder="1" applyAlignment="1">
      <alignment horizontal="center" vertical="top" wrapText="1"/>
    </xf>
    <xf numFmtId="0" fontId="7" fillId="5" borderId="1" xfId="0" applyFont="1" applyFill="1" applyBorder="1" applyAlignment="1">
      <alignment horizontal="center" vertical="top" wrapText="1"/>
    </xf>
    <xf numFmtId="0" fontId="7" fillId="5" borderId="2" xfId="0" applyFont="1" applyFill="1" applyBorder="1" applyAlignment="1">
      <alignment horizontal="center" vertical="top" wrapText="1"/>
    </xf>
  </cellXfs>
  <cellStyles count="1">
    <cellStyle name="Normal" xfId="0" builtinId="0"/>
  </cellStyles>
  <dxfs count="66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none"/>
      </font>
      <fill>
        <patternFill patternType="solid">
          <fgColor rgb="FF1F4E78"/>
          <bgColor theme="3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auto="1"/>
        </bottom>
      </border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ont>
        <strike val="0"/>
        <outline val="0"/>
        <shadow val="0"/>
        <u val="none"/>
        <vertAlign val="baseline"/>
        <sz val="10"/>
        <name val="Calibri"/>
        <family val="2"/>
      </font>
      <numFmt numFmtId="0" formatCode="General"/>
      <alignment vertical="top" textRotation="0" wrapText="1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</font>
      <alignment horizontal="center" vertical="top" textRotation="0" wrapText="1" indent="0" justifyLastLine="0" shrinkToFit="0" readingOrder="0"/>
    </dxf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none">
          <fgColor rgb="FF1F4E78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  <alignment horizontal="center" textRotation="0" indent="0" justifyLastLine="0" shrinkToFit="0" readingOrder="0"/>
    </dxf>
    <dxf>
      <numFmt numFmtId="1" formatCode="0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ill>
        <patternFill patternType="none">
          <bgColor auto="1"/>
        </patternFill>
      </fill>
      <alignment vertical="top" textRotation="0" wrapTex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none">
          <fgColor rgb="FF1F4E78"/>
          <bgColor auto="1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  <dxf>
      <fill>
        <patternFill patternType="none">
          <bgColor auto="1"/>
        </patternFill>
      </fill>
      <alignment horizontal="center" vertical="top" textRotation="0" wrapText="1" indent="0" justifyLastLine="0" shrinkToFit="0" readingOrder="0"/>
    </dxf>
    <dxf>
      <numFmt numFmtId="2" formatCode="0.00"/>
      <fill>
        <patternFill patternType="none">
          <bgColor auto="1"/>
        </patternFill>
      </fill>
      <alignment horizontal="center" vertical="top" textRotation="0" wrapText="1" indent="0" justifyLastLine="0" shrinkToFit="0" readingOrder="0"/>
    </dxf>
    <dxf>
      <fill>
        <patternFill patternType="none">
          <bgColor auto="1"/>
        </patternFill>
      </fill>
      <alignment horizontal="center" vertical="top" textRotation="0" wrapText="1" indent="0" justifyLastLine="0" shrinkToFit="0" readingOrder="0"/>
    </dxf>
    <dxf>
      <fill>
        <patternFill patternType="none">
          <bgColor auto="1"/>
        </patternFill>
      </fill>
      <alignment horizontal="center" vertical="top" textRotation="0" wrapText="1" indent="0" justifyLastLine="0" shrinkToFit="0" readingOrder="0"/>
    </dxf>
    <dxf>
      <fill>
        <patternFill patternType="none">
          <bgColor auto="1"/>
        </patternFill>
      </fill>
      <alignment horizontal="center" vertical="top" textRotation="0" wrapText="1" indent="0" justifyLastLine="0" shrinkToFit="0" readingOrder="0"/>
    </dxf>
    <dxf>
      <fill>
        <patternFill patternType="none">
          <bgColor auto="1"/>
        </patternFill>
      </fill>
      <alignment horizontal="center" vertical="top" textRotation="0" wrapText="1" indent="0" justifyLastLine="0" shrinkToFit="0" readingOrder="0"/>
    </dxf>
    <dxf>
      <fill>
        <patternFill patternType="none">
          <bgColor auto="1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4" tint="0.79998168889431442"/>
          <bgColor auto="1"/>
        </patternFill>
      </fill>
      <alignment vertical="top" textRotation="0" wrapText="1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bgColor auto="1"/>
        </patternFill>
      </fill>
      <alignment vertical="top" textRotation="0" wrapText="1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alignment vertical="top" textRotation="0" wrapText="1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</font>
      <alignment vertical="top" textRotation="0" wrapText="1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</font>
      <alignment vertical="top" textRotation="0" wrapText="1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</font>
      <alignment horizontal="center" vertical="top" textRotation="0" wrapText="1" indent="0" justifyLastLine="0" shrinkToFit="0" readingOrder="0"/>
    </dxf>
    <dxf>
      <border outline="0">
        <top style="thin">
          <color auto="1"/>
        </top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alignment vertical="top" textRotation="0" wrapText="1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none"/>
      </font>
      <fill>
        <patternFill patternType="solid">
          <fgColor rgb="FF1F4E78"/>
          <bgColor rgb="FF1F4E78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93115A-CA34-4428-B7BF-6E69796D2847}" name="use_cases" displayName="use_cases" ref="A1:F25" totalsRowShown="0" headerRowDxfId="65" dataDxfId="63" headerRowBorderDxfId="64" tableBorderDxfId="62">
  <autoFilter ref="A1:F25" xr:uid="{B993115A-CA34-4428-B7BF-6E69796D2847}"/>
  <tableColumns count="6">
    <tableColumn id="1" xr3:uid="{C27DFBE3-E56F-4098-8C69-F737AD640FE6}" name="ID" dataDxfId="61"/>
    <tableColumn id="2" xr3:uid="{49F9EF52-4C93-49D0-ADBD-8A0B053D821C}" name="Name" dataDxfId="60"/>
    <tableColumn id="3" xr3:uid="{48B17722-DA32-48EE-A927-40778074C3B7}" name="Summary" dataDxfId="59"/>
    <tableColumn id="8" xr3:uid="{FFC229E2-CDC8-4015-9521-82F5BFCD326B}" name="Opportunity" dataDxfId="58"/>
    <tableColumn id="4" xr3:uid="{970441AB-CF4F-4068-9C20-DADC6A65366D}" name="Business Value" dataDxfId="18"/>
    <tableColumn id="5" xr3:uid="{2DE4F592-FE0C-441F-ABE3-C522C26E67F9}" name="Benefits" dataDxfId="17">
      <calculatedColumnFormula>VLOOKUP(use_cases[[#This Row],[Business Value]],BusinessValueTable,3,FALSE)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AA4B40-34EC-452E-B148-AAAE8E09DFA5}" name="DVF_Filtering" displayName="DVF_Filtering" ref="A2:H26" totalsRowShown="0" headerRowDxfId="20" dataDxfId="19" headerRowBorderDxfId="57" tableBorderDxfId="56">
  <autoFilter ref="A2:H26" xr:uid="{69AA4B40-34EC-452E-B148-AAAE8E09DFA5}"/>
  <tableColumns count="8">
    <tableColumn id="1" xr3:uid="{4C03ED8F-C840-4C62-B1DC-13B3903B925B}" name="ID" dataDxfId="28"/>
    <tableColumn id="2" xr3:uid="{025206FE-6D75-4B27-B520-C8C387318A71}" name="Name" dataDxfId="27">
      <calculatedColumnFormula>VLOOKUP(DVF_Filtering[[#This Row],[ID]],'2. Use Cases'!A:B,2,FALSE)</calculatedColumnFormula>
    </tableColumn>
    <tableColumn id="3" xr3:uid="{7B91F164-2595-4111-858A-11D2462BFC96}" name="Desirability (1-5)" dataDxfId="26"/>
    <tableColumn id="4" xr3:uid="{94C45984-8574-4B68-82D6-9CB3A37384F4}" name="Viability (1-5)" dataDxfId="25"/>
    <tableColumn id="5" xr3:uid="{F58559A3-9BD2-4987-93EF-3FE2222B7790}" name="Feasibility (1-5)" dataDxfId="24"/>
    <tableColumn id="6" xr3:uid="{78370348-6054-4A51-B780-F9E6AE2B9014}" name="DVF Total" dataDxfId="23">
      <calculatedColumnFormula>SUM(DVF_Filtering[[#This Row],[Desirability (1-5)]:[Feasibility (1-5)]])</calculatedColumnFormula>
    </tableColumn>
    <tableColumn id="7" xr3:uid="{26E524F9-2F4E-4219-AF5C-1731561ED336}" name="DVF Status" dataDxfId="22">
      <calculatedColumnFormula>IF(AND(C3&gt;=3,D3&gt;=3,E3&gt;=3),"Pass","Fail")</calculatedColumnFormula>
    </tableColumn>
    <tableColumn id="8" xr3:uid="{8568EF1D-D4D1-4813-9EF0-BF452435FEAC}" name="Notes" dataDxfId="21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CB205C2-A75A-4DD4-931E-8ECC1CE54DC3}" name="Table4" displayName="Table4" ref="A2:I26" totalsRowShown="0" headerRowDxfId="44" dataDxfId="43" headerRowBorderDxfId="54" tableBorderDxfId="55">
  <autoFilter ref="A2:I26" xr:uid="{6CB205C2-A75A-4DD4-931E-8ECC1CE54DC3}"/>
  <tableColumns count="9">
    <tableColumn id="1" xr3:uid="{31B521FF-D63A-4B94-887D-1CDA7A971DED}" name="ID" dataDxfId="53">
      <calculatedColumnFormula>'2. Use Cases'!A2</calculatedColumnFormula>
    </tableColumn>
    <tableColumn id="2" xr3:uid="{9693B36E-6601-40CF-B104-972FA5E6344C}" name="Name" dataDxfId="52">
      <calculatedColumnFormula>VLOOKUP(DVF_Filtering[[#This Row],[ID]],'2. Use Cases'!A:B,2,FALSE)</calculatedColumnFormula>
    </tableColumn>
    <tableColumn id="3" xr3:uid="{4F814F23-F4F5-455E-AFDB-CCCF67EC41FE}" name="Business Value" dataDxfId="51">
      <calculatedColumnFormula>VLOOKUP('2. Use Cases'!E2,BusinessValueTable,2,FALSE)</calculatedColumnFormula>
    </tableColumn>
    <tableColumn id="4" xr3:uid="{96350982-2F94-40AD-B0E2-DE5C2766B5B1}" name="Time Criticality" dataDxfId="50"/>
    <tableColumn id="5" xr3:uid="{F070A0B0-A1F6-4CBE-8E78-3014DFF9EE9B}" name="Risk Reduction / Opptunity Enable" dataDxfId="49"/>
    <tableColumn id="6" xr3:uid="{C9E1C58F-B6F8-4434-8705-3AF6DF70C035}" name="Cost of Delay" dataDxfId="48">
      <calculatedColumnFormula>C3+D3+E3</calculatedColumnFormula>
    </tableColumn>
    <tableColumn id="7" xr3:uid="{3EECE21D-D761-4D39-8948-447C5522DCC0}" name="Initiative Size" dataDxfId="47"/>
    <tableColumn id="8" xr3:uid="{A26E9191-7F21-4C79-93C3-F8A777522F96}" name="WSJF Score" dataDxfId="46">
      <calculatedColumnFormula>IF(G3&gt;0,F3/G3,0)</calculatedColumnFormula>
    </tableColumn>
    <tableColumn id="9" xr3:uid="{3C9E7CD3-8532-4E2F-B1E4-CF9A07364BF6}" name="WSJF Rank" dataDxfId="45">
      <calculatedColumnFormula>IF(H3&gt;0,RANK(H3,H$3:H$25,0),"")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76CDE25-FED5-4FE5-8581-963C0E2961E1}" name="Table5" displayName="Table5" ref="A2:L26" totalsRowShown="0" headerRowDxfId="39" headerRowBorderDxfId="41" tableBorderDxfId="42">
  <autoFilter ref="A2:L26" xr:uid="{F76CDE25-FED5-4FE5-8581-963C0E2961E1}"/>
  <tableColumns count="12">
    <tableColumn id="1" xr3:uid="{D562F4EC-12B6-4B11-9794-009687B3FD41}" name="ID" dataDxfId="29">
      <calculatedColumnFormula>'2. Use Cases'!A2</calculatedColumnFormula>
    </tableColumn>
    <tableColumn id="2" xr3:uid="{A7AE7006-B349-42DB-A0AC-A34A7F3259BE}" name="Name" dataDxfId="40">
      <calculatedColumnFormula>VLOOKUP(DVF_Filtering[[#This Row],[ID]],'2. Use Cases'!A:B,2,FALSE)</calculatedColumnFormula>
    </tableColumn>
    <tableColumn id="3" xr3:uid="{051DF4F4-6B79-47C7-8834-0D75695E3DCD}" name="WSJF Rank" dataDxfId="38">
      <calculatedColumnFormula>'4. WSJF Scoring'!I3</calculatedColumnFormula>
    </tableColumn>
    <tableColumn id="4" xr3:uid="{E7CBA6D5-3320-414A-916E-69E592D41127}" name="Cost of Delay" dataDxfId="37">
      <calculatedColumnFormula>'4. WSJF Scoring'!F3</calculatedColumnFormula>
    </tableColumn>
    <tableColumn id="5" xr3:uid="{6D7FDB55-EFF8-40B0-85FC-8F3840B09E3C}" name="Iniative Size" dataDxfId="36">
      <calculatedColumnFormula>'4. WSJF Scoring'!G3</calculatedColumnFormula>
    </tableColumn>
    <tableColumn id="6" xr3:uid="{078BEB40-58DF-4434-8BF3-137293A73B07}" name="Value Tier" dataDxfId="35">
      <calculatedColumnFormula>IF(D3&gt;=30,"High",IF(D3&gt;=15,"Medium","Low"))</calculatedColumnFormula>
    </tableColumn>
    <tableColumn id="7" xr3:uid="{05A9F24F-565D-4E73-8C2D-5715AB7E93D1}" name="Effort Tier" dataDxfId="34">
      <calculatedColumnFormula>IF(E3&gt;=13,"High",IF(E3&gt;=5,"Medium","Low"))</calculatedColumnFormula>
    </tableColumn>
    <tableColumn id="8" xr3:uid="{8868D876-603E-4CCB-B20E-C4A3A8466149}" name="Quadrant" dataDxfId="33">
      <calculatedColumnFormula>IF(F3="High",IF(G3="Low","Quick Win","Strategic Bet"),IF(F3="Medium","Fill-in","Avoid"))</calculatedColumnFormula>
    </tableColumn>
    <tableColumn id="9" xr3:uid="{C1855C65-61D0-4B96-BCB9-B96DE1B0AA28}" name="Wave" dataDxfId="32">
      <calculatedColumnFormula>'5. Dependencies Schedule'!G3</calculatedColumnFormula>
    </tableColumn>
    <tableColumn id="10" xr3:uid="{9903C8FE-F077-4D57-9C33-0B4B411CC102}" name="Top 10" dataDxfId="31"/>
    <tableColumn id="11" xr3:uid="{BCE3D67E-BECA-4DC5-B57D-954B2580A507}" name="Top 5" dataDxfId="30"/>
    <tableColumn id="12" xr3:uid="{E74006A4-48DB-4160-9950-02A636D0F099}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1CA95D5-EE46-4AAC-BFD2-469DEAB99CE8}" name="Table6" displayName="Table6" ref="A1:E25" totalsRowShown="0" headerRowDxfId="0" dataDxfId="1" headerRowBorderDxfId="7">
  <autoFilter ref="A1:E25" xr:uid="{C1CA95D5-EE46-4AAC-BFD2-469DEAB99CE8}"/>
  <tableColumns count="5">
    <tableColumn id="1" xr3:uid="{5BB58CCA-9BEC-4FEC-989B-5FA2D7CADA9D}" name="ID" dataDxfId="6"/>
    <tableColumn id="2" xr3:uid="{852C0843-8512-414E-A988-36C8CC486884}" name="Name" dataDxfId="5">
      <calculatedColumnFormula>VLOOKUP(A2,'2. Use Cases'!A:B,2,FALSE)</calculatedColumnFormula>
    </tableColumn>
    <tableColumn id="3" xr3:uid="{0AB2C842-758F-4BB1-B529-2202DF5E73D6}" name="AI Type" dataDxfId="4"/>
    <tableColumn id="4" xr3:uid="{57DB4C23-00FD-4007-AC67-99ACB13D5731}" name="Category" dataDxfId="3"/>
    <tableColumn id="5" xr3:uid="{E8C19904-991F-4DB1-9680-5802D488BAA0}" name="Strategic Theme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7"/>
  <sheetViews>
    <sheetView showGridLines="0" workbookViewId="0">
      <selection activeCell="F16" sqref="F16"/>
    </sheetView>
  </sheetViews>
  <sheetFormatPr defaultRowHeight="15" x14ac:dyDescent="0.25"/>
  <cols>
    <col min="1" max="1" width="25" customWidth="1"/>
    <col min="2" max="2" width="15" customWidth="1"/>
    <col min="3" max="3" width="5" customWidth="1"/>
    <col min="4" max="4" width="10" customWidth="1"/>
    <col min="5" max="5" width="12" customWidth="1"/>
    <col min="6" max="6" width="35" customWidth="1"/>
  </cols>
  <sheetData>
    <row r="1" spans="1:6" ht="24.95" customHeight="1" x14ac:dyDescent="0.25">
      <c r="A1" s="13" t="s">
        <v>169</v>
      </c>
      <c r="B1" s="11"/>
      <c r="C1" s="11"/>
      <c r="D1" s="11"/>
      <c r="E1" s="11"/>
      <c r="F1" s="11"/>
    </row>
    <row r="3" spans="1:6" ht="15.75" x14ac:dyDescent="0.25">
      <c r="A3" s="12" t="s">
        <v>170</v>
      </c>
      <c r="B3" s="11"/>
      <c r="D3" s="12" t="s">
        <v>171</v>
      </c>
      <c r="E3" s="11"/>
      <c r="F3" s="11"/>
    </row>
    <row r="4" spans="1:6" x14ac:dyDescent="0.25">
      <c r="A4" s="2" t="s">
        <v>172</v>
      </c>
      <c r="B4">
        <f>COUNTA('2. Use Cases'!A2:A25)</f>
        <v>24</v>
      </c>
      <c r="D4" s="3" t="s">
        <v>173</v>
      </c>
      <c r="E4" s="3" t="s">
        <v>0</v>
      </c>
      <c r="F4" s="3" t="s">
        <v>1</v>
      </c>
    </row>
    <row r="5" spans="1:6" x14ac:dyDescent="0.25">
      <c r="A5" s="2" t="s">
        <v>174</v>
      </c>
      <c r="B5">
        <f>COUNTIF('3. DVF Filtering'!G2:G25,"Pass")</f>
        <v>0</v>
      </c>
      <c r="D5">
        <f>1</f>
        <v>1</v>
      </c>
    </row>
    <row r="6" spans="1:6" x14ac:dyDescent="0.25">
      <c r="A6" s="2" t="s">
        <v>175</v>
      </c>
      <c r="B6">
        <f>COUNTIF('3. DVF Filtering'!G2:G25,"Fail")</f>
        <v>23</v>
      </c>
      <c r="D6">
        <f>2</f>
        <v>2</v>
      </c>
    </row>
    <row r="7" spans="1:6" x14ac:dyDescent="0.25">
      <c r="A7" s="2" t="s">
        <v>176</v>
      </c>
      <c r="B7">
        <f>COUNTIF('6. Portfolio View'!J2:J25,TRUE)</f>
        <v>0</v>
      </c>
      <c r="D7">
        <f>3</f>
        <v>3</v>
      </c>
    </row>
    <row r="8" spans="1:6" x14ac:dyDescent="0.25">
      <c r="A8" s="2" t="s">
        <v>177</v>
      </c>
      <c r="B8">
        <f>COUNTIF('6. Portfolio View'!K2:K25,TRUE)</f>
        <v>0</v>
      </c>
      <c r="D8">
        <f>4</f>
        <v>4</v>
      </c>
    </row>
    <row r="9" spans="1:6" x14ac:dyDescent="0.25">
      <c r="A9" s="2" t="s">
        <v>178</v>
      </c>
      <c r="B9">
        <f>COUNTIF('5. Dependencies Schedule'!G2:G25,"Wave 1")</f>
        <v>0</v>
      </c>
      <c r="D9">
        <f>5</f>
        <v>5</v>
      </c>
    </row>
    <row r="10" spans="1:6" x14ac:dyDescent="0.25">
      <c r="A10" s="2" t="s">
        <v>179</v>
      </c>
      <c r="B10">
        <f>COUNTIF('5. Dependencies Schedule'!G2:G25,"Wave 2")</f>
        <v>0</v>
      </c>
      <c r="D10">
        <f>6</f>
        <v>6</v>
      </c>
    </row>
    <row r="11" spans="1:6" x14ac:dyDescent="0.25">
      <c r="A11" s="2" t="s">
        <v>180</v>
      </c>
      <c r="B11">
        <f>COUNTIF('5. Dependencies Schedule'!G2:G25,"Wave 3")</f>
        <v>0</v>
      </c>
      <c r="D11">
        <f>7</f>
        <v>7</v>
      </c>
    </row>
    <row r="12" spans="1:6" x14ac:dyDescent="0.25">
      <c r="D12">
        <f>8</f>
        <v>8</v>
      </c>
    </row>
    <row r="13" spans="1:6" ht="15.75" x14ac:dyDescent="0.25">
      <c r="A13" s="12" t="s">
        <v>181</v>
      </c>
      <c r="B13" s="11"/>
      <c r="D13">
        <f>9</f>
        <v>9</v>
      </c>
    </row>
    <row r="14" spans="1:6" x14ac:dyDescent="0.25">
      <c r="A14" s="2" t="s">
        <v>182</v>
      </c>
      <c r="B14">
        <f>COUNTIF('6. Portfolio View'!H2:H25,"Quick Win")</f>
        <v>0</v>
      </c>
      <c r="D14">
        <f>10</f>
        <v>10</v>
      </c>
    </row>
    <row r="15" spans="1:6" x14ac:dyDescent="0.25">
      <c r="A15" s="2" t="s">
        <v>183</v>
      </c>
      <c r="B15">
        <f>COUNTIF('6. Portfolio View'!H2:H25,"Strategic Bet")</f>
        <v>0</v>
      </c>
    </row>
    <row r="16" spans="1:6" x14ac:dyDescent="0.25">
      <c r="A16" s="2" t="s">
        <v>184</v>
      </c>
      <c r="B16">
        <f>COUNTIF('6. Portfolio View'!H2:H25,"Fill-in")</f>
        <v>0</v>
      </c>
    </row>
    <row r="17" spans="1:2" x14ac:dyDescent="0.25">
      <c r="A17" s="2" t="s">
        <v>185</v>
      </c>
      <c r="B17">
        <f>COUNTIF('6. Portfolio View'!H2:H25,"Avoid")</f>
        <v>23</v>
      </c>
    </row>
  </sheetData>
  <mergeCells count="4">
    <mergeCell ref="A13:B13"/>
    <mergeCell ref="A3:B3"/>
    <mergeCell ref="A1:F1"/>
    <mergeCell ref="D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showGridLines="0" tabSelected="1" workbookViewId="0">
      <pane ySplit="1" topLeftCell="A2" activePane="bottomLeft" state="frozen"/>
      <selection pane="bottomLeft" activeCell="G1" sqref="G1:H1048576"/>
    </sheetView>
  </sheetViews>
  <sheetFormatPr defaultRowHeight="15" x14ac:dyDescent="0.25"/>
  <cols>
    <col min="1" max="1" width="7.140625" style="7" customWidth="1"/>
    <col min="2" max="2" width="18.140625" style="8" customWidth="1"/>
    <col min="3" max="3" width="23.42578125" style="8" customWidth="1"/>
    <col min="4" max="4" width="29.28515625" style="8" customWidth="1"/>
    <col min="5" max="5" width="13.42578125" style="7" customWidth="1"/>
    <col min="6" max="6" width="17.7109375" style="7" customWidth="1"/>
  </cols>
  <sheetData>
    <row r="1" spans="1:6" x14ac:dyDescent="0.25">
      <c r="A1" s="6" t="s">
        <v>0</v>
      </c>
      <c r="B1" s="6" t="s">
        <v>1</v>
      </c>
      <c r="C1" s="6" t="s">
        <v>2</v>
      </c>
      <c r="D1" s="6" t="s">
        <v>278</v>
      </c>
      <c r="E1" s="6" t="s">
        <v>210</v>
      </c>
      <c r="F1" s="6" t="s">
        <v>269</v>
      </c>
    </row>
    <row r="2" spans="1:6" ht="114.75" x14ac:dyDescent="0.25">
      <c r="A2" s="7" t="s">
        <v>186</v>
      </c>
      <c r="B2" s="8" t="s">
        <v>6</v>
      </c>
      <c r="C2" s="8" t="s">
        <v>221</v>
      </c>
      <c r="D2" s="8" t="s">
        <v>245</v>
      </c>
      <c r="E2" s="7" t="s">
        <v>274</v>
      </c>
      <c r="F2" s="7" t="str">
        <f>VLOOKUP(use_cases[[#This Row],[Business Value]],BusinessValueTable,3,FALSE)</f>
        <v>$100K-500K benefit OR 2-5% efficiency</v>
      </c>
    </row>
    <row r="3" spans="1:6" ht="89.25" x14ac:dyDescent="0.25">
      <c r="A3" s="7" t="s">
        <v>187</v>
      </c>
      <c r="B3" s="8" t="s">
        <v>10</v>
      </c>
      <c r="C3" s="8" t="s">
        <v>222</v>
      </c>
      <c r="D3" s="8" t="s">
        <v>246</v>
      </c>
      <c r="E3" s="7" t="s">
        <v>274</v>
      </c>
      <c r="F3" s="7" t="str">
        <f>VLOOKUP(use_cases[[#This Row],[Business Value]],BusinessValueTable,3,FALSE)</f>
        <v>$100K-500K benefit OR 2-5% efficiency</v>
      </c>
    </row>
    <row r="4" spans="1:6" ht="114.75" x14ac:dyDescent="0.25">
      <c r="A4" s="7" t="s">
        <v>188</v>
      </c>
      <c r="B4" s="8" t="s">
        <v>14</v>
      </c>
      <c r="C4" s="8" t="s">
        <v>223</v>
      </c>
      <c r="D4" s="8" t="s">
        <v>247</v>
      </c>
      <c r="E4" s="7" t="s">
        <v>274</v>
      </c>
      <c r="F4" s="7" t="str">
        <f>VLOOKUP(use_cases[[#This Row],[Business Value]],BusinessValueTable,3,FALSE)</f>
        <v>$100K-500K benefit OR 2-5% efficiency</v>
      </c>
    </row>
    <row r="5" spans="1:6" ht="114.75" x14ac:dyDescent="0.25">
      <c r="A5" s="7" t="s">
        <v>189</v>
      </c>
      <c r="B5" s="8" t="s">
        <v>17</v>
      </c>
      <c r="C5" s="8" t="s">
        <v>224</v>
      </c>
      <c r="D5" s="8" t="s">
        <v>248</v>
      </c>
      <c r="E5" s="7" t="s">
        <v>274</v>
      </c>
      <c r="F5" s="7" t="str">
        <f>VLOOKUP(use_cases[[#This Row],[Business Value]],BusinessValueTable,3,FALSE)</f>
        <v>$100K-500K benefit OR 2-5% efficiency</v>
      </c>
    </row>
    <row r="6" spans="1:6" ht="89.25" x14ac:dyDescent="0.25">
      <c r="A6" s="7" t="s">
        <v>190</v>
      </c>
      <c r="B6" s="8" t="s">
        <v>21</v>
      </c>
      <c r="C6" s="8" t="s">
        <v>225</v>
      </c>
      <c r="D6" s="8" t="s">
        <v>249</v>
      </c>
      <c r="E6" s="7" t="s">
        <v>274</v>
      </c>
      <c r="F6" s="7" t="str">
        <f>VLOOKUP(use_cases[[#This Row],[Business Value]],BusinessValueTable,3,FALSE)</f>
        <v>$100K-500K benefit OR 2-5% efficiency</v>
      </c>
    </row>
    <row r="7" spans="1:6" ht="76.5" x14ac:dyDescent="0.25">
      <c r="A7" s="7" t="s">
        <v>191</v>
      </c>
      <c r="B7" s="8" t="s">
        <v>24</v>
      </c>
      <c r="C7" s="8" t="s">
        <v>226</v>
      </c>
      <c r="D7" s="8" t="s">
        <v>250</v>
      </c>
      <c r="E7" s="7" t="s">
        <v>274</v>
      </c>
      <c r="F7" s="7" t="str">
        <f>VLOOKUP(use_cases[[#This Row],[Business Value]],BusinessValueTable,3,FALSE)</f>
        <v>$100K-500K benefit OR 2-5% efficiency</v>
      </c>
    </row>
    <row r="8" spans="1:6" ht="89.25" x14ac:dyDescent="0.25">
      <c r="A8" s="7" t="s">
        <v>192</v>
      </c>
      <c r="B8" s="8" t="s">
        <v>26</v>
      </c>
      <c r="C8" s="8" t="s">
        <v>227</v>
      </c>
      <c r="D8" s="8" t="s">
        <v>251</v>
      </c>
      <c r="E8" s="7" t="s">
        <v>274</v>
      </c>
      <c r="F8" s="7" t="str">
        <f>VLOOKUP(use_cases[[#This Row],[Business Value]],BusinessValueTable,3,FALSE)</f>
        <v>$100K-500K benefit OR 2-5% efficiency</v>
      </c>
    </row>
    <row r="9" spans="1:6" ht="89.25" x14ac:dyDescent="0.25">
      <c r="A9" s="7" t="s">
        <v>193</v>
      </c>
      <c r="B9" s="8" t="s">
        <v>28</v>
      </c>
      <c r="C9" s="8" t="s">
        <v>228</v>
      </c>
      <c r="D9" s="8" t="s">
        <v>252</v>
      </c>
      <c r="E9" s="7" t="s">
        <v>274</v>
      </c>
      <c r="F9" s="7" t="str">
        <f>VLOOKUP(use_cases[[#This Row],[Business Value]],BusinessValueTable,3,FALSE)</f>
        <v>$100K-500K benefit OR 2-5% efficiency</v>
      </c>
    </row>
    <row r="10" spans="1:6" ht="89.25" x14ac:dyDescent="0.25">
      <c r="A10" s="7" t="s">
        <v>194</v>
      </c>
      <c r="B10" s="8" t="s">
        <v>30</v>
      </c>
      <c r="C10" s="8" t="s">
        <v>229</v>
      </c>
      <c r="D10" s="8" t="s">
        <v>253</v>
      </c>
      <c r="E10" s="7" t="s">
        <v>274</v>
      </c>
      <c r="F10" s="7" t="str">
        <f>VLOOKUP(use_cases[[#This Row],[Business Value]],BusinessValueTable,3,FALSE)</f>
        <v>$100K-500K benefit OR 2-5% efficiency</v>
      </c>
    </row>
    <row r="11" spans="1:6" ht="76.5" x14ac:dyDescent="0.25">
      <c r="A11" s="7" t="s">
        <v>195</v>
      </c>
      <c r="B11" s="8" t="s">
        <v>31</v>
      </c>
      <c r="C11" s="8" t="s">
        <v>230</v>
      </c>
      <c r="D11" s="8" t="s">
        <v>254</v>
      </c>
      <c r="E11" s="7" t="s">
        <v>274</v>
      </c>
      <c r="F11" s="7" t="str">
        <f>VLOOKUP(use_cases[[#This Row],[Business Value]],BusinessValueTable,3,FALSE)</f>
        <v>$100K-500K benefit OR 2-5% efficiency</v>
      </c>
    </row>
    <row r="12" spans="1:6" ht="89.25" x14ac:dyDescent="0.25">
      <c r="A12" s="7" t="s">
        <v>196</v>
      </c>
      <c r="B12" s="8" t="s">
        <v>34</v>
      </c>
      <c r="C12" s="8" t="s">
        <v>231</v>
      </c>
      <c r="D12" s="8" t="s">
        <v>255</v>
      </c>
      <c r="E12" s="7" t="s">
        <v>274</v>
      </c>
      <c r="F12" s="7" t="str">
        <f>VLOOKUP(use_cases[[#This Row],[Business Value]],BusinessValueTable,3,FALSE)</f>
        <v>$100K-500K benefit OR 2-5% efficiency</v>
      </c>
    </row>
    <row r="13" spans="1:6" ht="89.25" x14ac:dyDescent="0.25">
      <c r="A13" s="7" t="s">
        <v>197</v>
      </c>
      <c r="B13" s="8" t="s">
        <v>36</v>
      </c>
      <c r="C13" s="8" t="s">
        <v>232</v>
      </c>
      <c r="D13" s="8" t="s">
        <v>256</v>
      </c>
      <c r="E13" s="7" t="s">
        <v>274</v>
      </c>
      <c r="F13" s="7" t="str">
        <f>VLOOKUP(use_cases[[#This Row],[Business Value]],BusinessValueTable,3,FALSE)</f>
        <v>$100K-500K benefit OR 2-5% efficiency</v>
      </c>
    </row>
    <row r="14" spans="1:6" ht="63.75" x14ac:dyDescent="0.25">
      <c r="A14" s="7" t="s">
        <v>198</v>
      </c>
      <c r="B14" s="8" t="s">
        <v>38</v>
      </c>
      <c r="C14" s="8" t="s">
        <v>233</v>
      </c>
      <c r="D14" s="8" t="s">
        <v>257</v>
      </c>
      <c r="E14" s="7" t="s">
        <v>274</v>
      </c>
      <c r="F14" s="7" t="str">
        <f>VLOOKUP(use_cases[[#This Row],[Business Value]],BusinessValueTable,3,FALSE)</f>
        <v>$100K-500K benefit OR 2-5% efficiency</v>
      </c>
    </row>
    <row r="15" spans="1:6" ht="89.25" x14ac:dyDescent="0.25">
      <c r="A15" s="7" t="s">
        <v>199</v>
      </c>
      <c r="B15" s="8" t="s">
        <v>40</v>
      </c>
      <c r="C15" s="8" t="s">
        <v>234</v>
      </c>
      <c r="D15" s="8" t="s">
        <v>258</v>
      </c>
      <c r="E15" s="7" t="s">
        <v>274</v>
      </c>
      <c r="F15" s="7" t="str">
        <f>VLOOKUP(use_cases[[#This Row],[Business Value]],BusinessValueTable,3,FALSE)</f>
        <v>$100K-500K benefit OR 2-5% efficiency</v>
      </c>
    </row>
    <row r="16" spans="1:6" ht="89.25" x14ac:dyDescent="0.25">
      <c r="A16" s="7" t="s">
        <v>200</v>
      </c>
      <c r="B16" s="8" t="s">
        <v>42</v>
      </c>
      <c r="C16" s="8" t="s">
        <v>235</v>
      </c>
      <c r="D16" s="8" t="s">
        <v>259</v>
      </c>
      <c r="E16" s="7" t="s">
        <v>274</v>
      </c>
      <c r="F16" s="7" t="str">
        <f>VLOOKUP(use_cases[[#This Row],[Business Value]],BusinessValueTable,3,FALSE)</f>
        <v>$100K-500K benefit OR 2-5% efficiency</v>
      </c>
    </row>
    <row r="17" spans="1:6" ht="89.25" x14ac:dyDescent="0.25">
      <c r="A17" s="7" t="s">
        <v>201</v>
      </c>
      <c r="B17" s="8" t="s">
        <v>43</v>
      </c>
      <c r="C17" s="8" t="s">
        <v>236</v>
      </c>
      <c r="D17" s="8" t="s">
        <v>260</v>
      </c>
      <c r="E17" s="7" t="s">
        <v>274</v>
      </c>
      <c r="F17" s="7" t="str">
        <f>VLOOKUP(use_cases[[#This Row],[Business Value]],BusinessValueTable,3,FALSE)</f>
        <v>$100K-500K benefit OR 2-5% efficiency</v>
      </c>
    </row>
    <row r="18" spans="1:6" ht="102" x14ac:dyDescent="0.25">
      <c r="A18" s="7" t="s">
        <v>202</v>
      </c>
      <c r="B18" s="8" t="s">
        <v>46</v>
      </c>
      <c r="C18" s="8" t="s">
        <v>237</v>
      </c>
      <c r="D18" s="8" t="s">
        <v>261</v>
      </c>
      <c r="E18" s="7" t="s">
        <v>274</v>
      </c>
      <c r="F18" s="7" t="str">
        <f>VLOOKUP(use_cases[[#This Row],[Business Value]],BusinessValueTable,3,FALSE)</f>
        <v>$100K-500K benefit OR 2-5% efficiency</v>
      </c>
    </row>
    <row r="19" spans="1:6" ht="89.25" x14ac:dyDescent="0.25">
      <c r="A19" s="7" t="s">
        <v>203</v>
      </c>
      <c r="B19" s="8" t="s">
        <v>47</v>
      </c>
      <c r="C19" s="8" t="s">
        <v>238</v>
      </c>
      <c r="D19" s="8" t="s">
        <v>262</v>
      </c>
      <c r="E19" s="7" t="s">
        <v>274</v>
      </c>
      <c r="F19" s="7" t="str">
        <f>VLOOKUP(use_cases[[#This Row],[Business Value]],BusinessValueTable,3,FALSE)</f>
        <v>$100K-500K benefit OR 2-5% efficiency</v>
      </c>
    </row>
    <row r="20" spans="1:6" ht="89.25" x14ac:dyDescent="0.25">
      <c r="A20" s="7" t="s">
        <v>204</v>
      </c>
      <c r="B20" s="8" t="s">
        <v>50</v>
      </c>
      <c r="C20" s="8" t="s">
        <v>239</v>
      </c>
      <c r="D20" s="8" t="s">
        <v>263</v>
      </c>
      <c r="E20" s="7" t="s">
        <v>274</v>
      </c>
      <c r="F20" s="7" t="str">
        <f>VLOOKUP(use_cases[[#This Row],[Business Value]],BusinessValueTable,3,FALSE)</f>
        <v>$100K-500K benefit OR 2-5% efficiency</v>
      </c>
    </row>
    <row r="21" spans="1:6" ht="89.25" x14ac:dyDescent="0.25">
      <c r="A21" s="7" t="s">
        <v>205</v>
      </c>
      <c r="B21" s="8" t="s">
        <v>52</v>
      </c>
      <c r="C21" s="8" t="s">
        <v>240</v>
      </c>
      <c r="D21" s="8" t="s">
        <v>264</v>
      </c>
      <c r="E21" s="7" t="s">
        <v>274</v>
      </c>
      <c r="F21" s="7" t="str">
        <f>VLOOKUP(use_cases[[#This Row],[Business Value]],BusinessValueTable,3,FALSE)</f>
        <v>$100K-500K benefit OR 2-5% efficiency</v>
      </c>
    </row>
    <row r="22" spans="1:6" ht="102" x14ac:dyDescent="0.25">
      <c r="A22" s="7" t="s">
        <v>206</v>
      </c>
      <c r="B22" s="8" t="s">
        <v>54</v>
      </c>
      <c r="C22" s="8" t="s">
        <v>241</v>
      </c>
      <c r="D22" s="8" t="s">
        <v>265</v>
      </c>
      <c r="E22" s="7" t="s">
        <v>274</v>
      </c>
      <c r="F22" s="7" t="str">
        <f>VLOOKUP(use_cases[[#This Row],[Business Value]],BusinessValueTable,3,FALSE)</f>
        <v>$100K-500K benefit OR 2-5% efficiency</v>
      </c>
    </row>
    <row r="23" spans="1:6" ht="89.25" x14ac:dyDescent="0.25">
      <c r="A23" s="7" t="s">
        <v>207</v>
      </c>
      <c r="B23" s="8" t="s">
        <v>55</v>
      </c>
      <c r="C23" s="8" t="s">
        <v>242</v>
      </c>
      <c r="D23" s="8" t="s">
        <v>266</v>
      </c>
      <c r="E23" s="7" t="s">
        <v>274</v>
      </c>
      <c r="F23" s="7" t="str">
        <f>VLOOKUP(use_cases[[#This Row],[Business Value]],BusinessValueTable,3,FALSE)</f>
        <v>$100K-500K benefit OR 2-5% efficiency</v>
      </c>
    </row>
    <row r="24" spans="1:6" ht="89.25" x14ac:dyDescent="0.25">
      <c r="A24" s="7" t="s">
        <v>208</v>
      </c>
      <c r="B24" s="8" t="s">
        <v>57</v>
      </c>
      <c r="C24" s="8" t="s">
        <v>243</v>
      </c>
      <c r="D24" s="8" t="s">
        <v>267</v>
      </c>
      <c r="E24" s="7" t="s">
        <v>274</v>
      </c>
      <c r="F24" s="7" t="str">
        <f>VLOOKUP(use_cases[[#This Row],[Business Value]],BusinessValueTable,3,FALSE)</f>
        <v>$100K-500K benefit OR 2-5% efficiency</v>
      </c>
    </row>
    <row r="25" spans="1:6" ht="102" x14ac:dyDescent="0.25">
      <c r="A25" s="7" t="s">
        <v>209</v>
      </c>
      <c r="B25" s="8" t="s">
        <v>59</v>
      </c>
      <c r="C25" s="8" t="s">
        <v>244</v>
      </c>
      <c r="D25" s="8" t="s">
        <v>268</v>
      </c>
      <c r="E25" s="7" t="s">
        <v>274</v>
      </c>
      <c r="F25" s="7" t="str">
        <f>VLOOKUP(use_cases[[#This Row],[Business Value]],BusinessValueTable,3,FALSE)</f>
        <v>$100K-500K benefit OR 2-5% efficiency</v>
      </c>
    </row>
  </sheetData>
  <dataValidations count="1">
    <dataValidation type="list" allowBlank="1" showInputMessage="1" showErrorMessage="1" sqref="E2:E25 F3:F25" xr:uid="{5947142E-8CE6-49D1-8F6E-A54BE7C60291}">
      <formula1>BusinessValueTerms</formula1>
    </dataValidation>
  </dataValidation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showGridLines="0" workbookViewId="0">
      <pane ySplit="1" topLeftCell="A2" activePane="bottomLeft" state="frozen"/>
      <selection pane="bottomLeft" activeCell="A2" sqref="A2:B26"/>
    </sheetView>
  </sheetViews>
  <sheetFormatPr defaultRowHeight="15" x14ac:dyDescent="0.25"/>
  <cols>
    <col min="1" max="1" width="10" style="19" customWidth="1"/>
    <col min="2" max="2" width="35" style="19" customWidth="1"/>
    <col min="3" max="5" width="18" style="20" customWidth="1"/>
    <col min="6" max="6" width="12" style="32" customWidth="1"/>
    <col min="7" max="7" width="12.42578125" style="20" customWidth="1"/>
    <col min="8" max="8" width="40" style="19" customWidth="1"/>
  </cols>
  <sheetData>
    <row r="1" spans="1:8" ht="30" customHeight="1" x14ac:dyDescent="0.25">
      <c r="A1" s="16" t="s">
        <v>60</v>
      </c>
      <c r="B1" s="17"/>
      <c r="C1" s="17"/>
      <c r="D1" s="17"/>
      <c r="E1" s="17"/>
      <c r="F1" s="17"/>
      <c r="G1" s="17"/>
      <c r="H1" s="17"/>
    </row>
    <row r="2" spans="1:8" x14ac:dyDescent="0.25">
      <c r="A2" s="18" t="s">
        <v>0</v>
      </c>
      <c r="B2" s="18" t="s">
        <v>1</v>
      </c>
      <c r="C2" s="18" t="s">
        <v>61</v>
      </c>
      <c r="D2" s="18" t="s">
        <v>62</v>
      </c>
      <c r="E2" s="18" t="s">
        <v>63</v>
      </c>
      <c r="F2" s="31" t="s">
        <v>64</v>
      </c>
      <c r="G2" s="18" t="s">
        <v>65</v>
      </c>
      <c r="H2" s="18" t="s">
        <v>66</v>
      </c>
    </row>
    <row r="3" spans="1:8" x14ac:dyDescent="0.25">
      <c r="A3" s="30" t="s">
        <v>186</v>
      </c>
      <c r="B3" s="19" t="str">
        <f>VLOOKUP(DVF_Filtering[[#This Row],[ID]],'2. Use Cases'!A:B,2,FALSE)</f>
        <v>FrontLine - Partnership Banking</v>
      </c>
      <c r="C3" s="32">
        <v>1</v>
      </c>
      <c r="D3" s="32">
        <v>1</v>
      </c>
      <c r="E3" s="32">
        <v>1</v>
      </c>
      <c r="F3" s="32">
        <f>SUM(DVF_Filtering[[#This Row],[Desirability (1-5)]:[Feasibility (1-5)]])</f>
        <v>3</v>
      </c>
      <c r="G3" s="20" t="str">
        <f>IF(AND(C3&gt;=3,D3&gt;=3,E3&gt;=3),"Pass","Fail")</f>
        <v>Fail</v>
      </c>
    </row>
    <row r="4" spans="1:8" x14ac:dyDescent="0.25">
      <c r="A4" s="30" t="s">
        <v>187</v>
      </c>
      <c r="B4" s="19" t="str">
        <f>VLOOKUP(DVF_Filtering[[#This Row],[ID]],'2. Use Cases'!A:B,2,FALSE)</f>
        <v>Finance</v>
      </c>
      <c r="C4" s="32">
        <v>1</v>
      </c>
      <c r="D4" s="32">
        <v>1</v>
      </c>
      <c r="E4" s="32">
        <v>1</v>
      </c>
      <c r="F4" s="32">
        <f>SUM(DVF_Filtering[[#This Row],[Desirability (1-5)]:[Feasibility (1-5)]])</f>
        <v>3</v>
      </c>
      <c r="G4" s="20" t="str">
        <f t="shared" ref="G4:G26" si="0">IF(AND(C4&gt;=3,D4&gt;=3,E4&gt;=3),"Pass","Fail")</f>
        <v>Fail</v>
      </c>
    </row>
    <row r="5" spans="1:8" x14ac:dyDescent="0.25">
      <c r="A5" s="30" t="s">
        <v>188</v>
      </c>
      <c r="B5" s="19" t="str">
        <f>VLOOKUP(DVF_Filtering[[#This Row],[ID]],'2. Use Cases'!A:B,2,FALSE)</f>
        <v>Analytics and Reporting</v>
      </c>
      <c r="C5" s="32">
        <v>1</v>
      </c>
      <c r="D5" s="32">
        <v>1</v>
      </c>
      <c r="E5" s="32">
        <v>1</v>
      </c>
      <c r="F5" s="32">
        <f>SUM(DVF_Filtering[[#This Row],[Desirability (1-5)]:[Feasibility (1-5)]])</f>
        <v>3</v>
      </c>
      <c r="G5" s="20" t="str">
        <f t="shared" si="0"/>
        <v>Fail</v>
      </c>
    </row>
    <row r="6" spans="1:8" x14ac:dyDescent="0.25">
      <c r="A6" s="30" t="s">
        <v>189</v>
      </c>
      <c r="B6" s="19" t="str">
        <f>VLOOKUP(DVF_Filtering[[#This Row],[ID]],'2. Use Cases'!A:B,2,FALSE)</f>
        <v>Credit Risk</v>
      </c>
      <c r="C6" s="32">
        <v>1</v>
      </c>
      <c r="D6" s="32">
        <v>1</v>
      </c>
      <c r="E6" s="32">
        <v>1</v>
      </c>
      <c r="F6" s="32">
        <f>SUM(DVF_Filtering[[#This Row],[Desirability (1-5)]:[Feasibility (1-5)]])</f>
        <v>3</v>
      </c>
      <c r="G6" s="20" t="str">
        <f t="shared" si="0"/>
        <v>Fail</v>
      </c>
    </row>
    <row r="7" spans="1:8" x14ac:dyDescent="0.25">
      <c r="A7" s="30" t="s">
        <v>190</v>
      </c>
      <c r="B7" s="19" t="str">
        <f>VLOOKUP(DVF_Filtering[[#This Row],[ID]],'2. Use Cases'!A:B,2,FALSE)</f>
        <v>Lending Ops</v>
      </c>
      <c r="C7" s="32">
        <v>1</v>
      </c>
      <c r="D7" s="32">
        <v>1</v>
      </c>
      <c r="E7" s="32">
        <v>1</v>
      </c>
      <c r="F7" s="32">
        <f>SUM(DVF_Filtering[[#This Row],[Desirability (1-5)]:[Feasibility (1-5)]])</f>
        <v>3</v>
      </c>
      <c r="G7" s="20" t="str">
        <f t="shared" si="0"/>
        <v>Fail</v>
      </c>
    </row>
    <row r="8" spans="1:8" x14ac:dyDescent="0.25">
      <c r="A8" s="30" t="s">
        <v>191</v>
      </c>
      <c r="B8" s="19" t="str">
        <f>VLOOKUP(DVF_Filtering[[#This Row],[ID]],'2. Use Cases'!A:B,2,FALSE)</f>
        <v>HyperPersonalization</v>
      </c>
      <c r="C8" s="32">
        <v>1</v>
      </c>
      <c r="D8" s="32">
        <v>1</v>
      </c>
      <c r="E8" s="32">
        <v>1</v>
      </c>
      <c r="F8" s="32">
        <f>SUM(DVF_Filtering[[#This Row],[Desirability (1-5)]:[Feasibility (1-5)]])</f>
        <v>3</v>
      </c>
      <c r="G8" s="20" t="str">
        <f t="shared" si="0"/>
        <v>Fail</v>
      </c>
    </row>
    <row r="9" spans="1:8" x14ac:dyDescent="0.25">
      <c r="A9" s="30" t="s">
        <v>192</v>
      </c>
      <c r="B9" s="19" t="str">
        <f>VLOOKUP(DVF_Filtering[[#This Row],[ID]],'2. Use Cases'!A:B,2,FALSE)</f>
        <v>Contact Centre</v>
      </c>
      <c r="C9" s="32">
        <v>1</v>
      </c>
      <c r="D9" s="32">
        <v>1</v>
      </c>
      <c r="E9" s="32">
        <v>1</v>
      </c>
      <c r="F9" s="32">
        <f>SUM(DVF_Filtering[[#This Row],[Desirability (1-5)]:[Feasibility (1-5)]])</f>
        <v>3</v>
      </c>
      <c r="G9" s="20" t="str">
        <f t="shared" si="0"/>
        <v>Fail</v>
      </c>
    </row>
    <row r="10" spans="1:8" x14ac:dyDescent="0.25">
      <c r="A10" s="30" t="s">
        <v>193</v>
      </c>
      <c r="B10" s="19" t="str">
        <f>VLOOKUP(DVF_Filtering[[#This Row],[ID]],'2. Use Cases'!A:B,2,FALSE)</f>
        <v>Security AI</v>
      </c>
      <c r="C10" s="32">
        <v>1</v>
      </c>
      <c r="D10" s="32">
        <v>1</v>
      </c>
      <c r="E10" s="32">
        <v>1</v>
      </c>
      <c r="F10" s="32">
        <f>SUM(DVF_Filtering[[#This Row],[Desirability (1-5)]:[Feasibility (1-5)]])</f>
        <v>3</v>
      </c>
      <c r="G10" s="20" t="str">
        <f t="shared" si="0"/>
        <v>Fail</v>
      </c>
    </row>
    <row r="11" spans="1:8" x14ac:dyDescent="0.25">
      <c r="A11" s="30" t="s">
        <v>194</v>
      </c>
      <c r="B11" s="19" t="str">
        <f>VLOOKUP(DVF_Filtering[[#This Row],[ID]],'2. Use Cases'!A:B,2,FALSE)</f>
        <v>Data Products</v>
      </c>
      <c r="C11" s="32">
        <v>1</v>
      </c>
      <c r="D11" s="32">
        <v>1</v>
      </c>
      <c r="E11" s="32">
        <v>1</v>
      </c>
      <c r="F11" s="32">
        <f>SUM(DVF_Filtering[[#This Row],[Desirability (1-5)]:[Feasibility (1-5)]])</f>
        <v>3</v>
      </c>
      <c r="G11" s="20" t="str">
        <f t="shared" si="0"/>
        <v>Fail</v>
      </c>
    </row>
    <row r="12" spans="1:8" x14ac:dyDescent="0.25">
      <c r="A12" s="30" t="s">
        <v>195</v>
      </c>
      <c r="B12" s="19" t="str">
        <f>VLOOKUP(DVF_Filtering[[#This Row],[ID]],'2. Use Cases'!A:B,2,FALSE)</f>
        <v>SDLC</v>
      </c>
      <c r="C12" s="32">
        <v>1</v>
      </c>
      <c r="D12" s="32">
        <v>1</v>
      </c>
      <c r="E12" s="32">
        <v>1</v>
      </c>
      <c r="F12" s="32">
        <f>SUM(DVF_Filtering[[#This Row],[Desirability (1-5)]:[Feasibility (1-5)]])</f>
        <v>3</v>
      </c>
      <c r="G12" s="20" t="str">
        <f t="shared" si="0"/>
        <v>Fail</v>
      </c>
    </row>
    <row r="13" spans="1:8" x14ac:dyDescent="0.25">
      <c r="A13" s="30" t="s">
        <v>196</v>
      </c>
      <c r="B13" s="19" t="str">
        <f>VLOOKUP(DVF_Filtering[[#This Row],[ID]],'2. Use Cases'!A:B,2,FALSE)</f>
        <v>Fincrime</v>
      </c>
      <c r="C13" s="32">
        <v>1</v>
      </c>
      <c r="D13" s="32">
        <v>1</v>
      </c>
      <c r="E13" s="32">
        <v>1</v>
      </c>
      <c r="F13" s="32">
        <f>SUM(DVF_Filtering[[#This Row],[Desirability (1-5)]:[Feasibility (1-5)]])</f>
        <v>3</v>
      </c>
      <c r="G13" s="20" t="str">
        <f t="shared" si="0"/>
        <v>Fail</v>
      </c>
    </row>
    <row r="14" spans="1:8" x14ac:dyDescent="0.25">
      <c r="A14" s="30" t="s">
        <v>197</v>
      </c>
      <c r="B14" s="19" t="str">
        <f>VLOOKUP(DVF_Filtering[[#This Row],[ID]],'2. Use Cases'!A:B,2,FALSE)</f>
        <v>QA/QC</v>
      </c>
      <c r="C14" s="32">
        <v>1</v>
      </c>
      <c r="D14" s="32">
        <v>1</v>
      </c>
      <c r="E14" s="32">
        <v>1</v>
      </c>
      <c r="F14" s="32">
        <f>SUM(DVF_Filtering[[#This Row],[Desirability (1-5)]:[Feasibility (1-5)]])</f>
        <v>3</v>
      </c>
      <c r="G14" s="20" t="str">
        <f t="shared" si="0"/>
        <v>Fail</v>
      </c>
    </row>
    <row r="15" spans="1:8" x14ac:dyDescent="0.25">
      <c r="A15" s="30" t="s">
        <v>198</v>
      </c>
      <c r="B15" s="19" t="str">
        <f>VLOOKUP(DVF_Filtering[[#This Row],[ID]],'2. Use Cases'!A:B,2,FALSE)</f>
        <v>Fraud Ops</v>
      </c>
      <c r="C15" s="32">
        <v>1</v>
      </c>
      <c r="D15" s="32">
        <v>1</v>
      </c>
      <c r="E15" s="32">
        <v>1</v>
      </c>
      <c r="F15" s="32">
        <f>SUM(DVF_Filtering[[#This Row],[Desirability (1-5)]:[Feasibility (1-5)]])</f>
        <v>3</v>
      </c>
      <c r="G15" s="20" t="str">
        <f t="shared" si="0"/>
        <v>Fail</v>
      </c>
    </row>
    <row r="16" spans="1:8" x14ac:dyDescent="0.25">
      <c r="A16" s="30" t="s">
        <v>199</v>
      </c>
      <c r="B16" s="19" t="str">
        <f>VLOOKUP(DVF_Filtering[[#This Row],[ID]],'2. Use Cases'!A:B,2,FALSE)</f>
        <v>Onboarding</v>
      </c>
      <c r="C16" s="32">
        <v>1</v>
      </c>
      <c r="D16" s="32">
        <v>1</v>
      </c>
      <c r="E16" s="32">
        <v>1</v>
      </c>
      <c r="F16" s="32">
        <f>SUM(DVF_Filtering[[#This Row],[Desirability (1-5)]:[Feasibility (1-5)]])</f>
        <v>3</v>
      </c>
      <c r="G16" s="20" t="str">
        <f t="shared" si="0"/>
        <v>Fail</v>
      </c>
    </row>
    <row r="17" spans="1:7" x14ac:dyDescent="0.25">
      <c r="A17" s="30" t="s">
        <v>200</v>
      </c>
      <c r="B17" s="19" t="str">
        <f>VLOOKUP(DVF_Filtering[[#This Row],[ID]],'2. Use Cases'!A:B,2,FALSE)</f>
        <v>Risk Functions</v>
      </c>
      <c r="C17" s="32">
        <v>1</v>
      </c>
      <c r="D17" s="32">
        <v>1</v>
      </c>
      <c r="E17" s="32">
        <v>1</v>
      </c>
      <c r="F17" s="32">
        <f>SUM(DVF_Filtering[[#This Row],[Desirability (1-5)]:[Feasibility (1-5)]])</f>
        <v>3</v>
      </c>
      <c r="G17" s="20" t="str">
        <f t="shared" si="0"/>
        <v>Fail</v>
      </c>
    </row>
    <row r="18" spans="1:7" x14ac:dyDescent="0.25">
      <c r="A18" s="30" t="s">
        <v>201</v>
      </c>
      <c r="B18" s="19" t="str">
        <f>VLOOKUP(DVF_Filtering[[#This Row],[ID]],'2. Use Cases'!A:B,2,FALSE)</f>
        <v>IT Ops</v>
      </c>
      <c r="C18" s="32">
        <v>1</v>
      </c>
      <c r="D18" s="32">
        <v>1</v>
      </c>
      <c r="E18" s="32">
        <v>1</v>
      </c>
      <c r="F18" s="32">
        <f>SUM(DVF_Filtering[[#This Row],[Desirability (1-5)]:[Feasibility (1-5)]])</f>
        <v>3</v>
      </c>
      <c r="G18" s="20" t="str">
        <f t="shared" si="0"/>
        <v>Fail</v>
      </c>
    </row>
    <row r="19" spans="1:7" x14ac:dyDescent="0.25">
      <c r="A19" s="30" t="s">
        <v>202</v>
      </c>
      <c r="B19" s="19" t="str">
        <f>VLOOKUP(DVF_Filtering[[#This Row],[ID]],'2. Use Cases'!A:B,2,FALSE)</f>
        <v>FrontLine - CIB</v>
      </c>
      <c r="C19" s="32">
        <v>1</v>
      </c>
      <c r="D19" s="32">
        <v>1</v>
      </c>
      <c r="E19" s="32">
        <v>1</v>
      </c>
      <c r="F19" s="32">
        <f>SUM(DVF_Filtering[[#This Row],[Desirability (1-5)]:[Feasibility (1-5)]])</f>
        <v>3</v>
      </c>
      <c r="G19" s="20" t="str">
        <f t="shared" si="0"/>
        <v>Fail</v>
      </c>
    </row>
    <row r="20" spans="1:7" x14ac:dyDescent="0.25">
      <c r="A20" s="30" t="s">
        <v>203</v>
      </c>
      <c r="B20" s="19" t="str">
        <f>VLOOKUP(DVF_Filtering[[#This Row],[ID]],'2. Use Cases'!A:B,2,FALSE)</f>
        <v>Procurement</v>
      </c>
      <c r="C20" s="32">
        <v>1</v>
      </c>
      <c r="D20" s="32">
        <v>1</v>
      </c>
      <c r="E20" s="32">
        <v>1</v>
      </c>
      <c r="F20" s="32">
        <f>SUM(DVF_Filtering[[#This Row],[Desirability (1-5)]:[Feasibility (1-5)]])</f>
        <v>3</v>
      </c>
      <c r="G20" s="20" t="str">
        <f t="shared" si="0"/>
        <v>Fail</v>
      </c>
    </row>
    <row r="21" spans="1:7" x14ac:dyDescent="0.25">
      <c r="A21" s="30" t="s">
        <v>204</v>
      </c>
      <c r="B21" s="19" t="str">
        <f>VLOOKUP(DVF_Filtering[[#This Row],[ID]],'2. Use Cases'!A:B,2,FALSE)</f>
        <v>Payment Disputes</v>
      </c>
      <c r="C21" s="32">
        <v>1</v>
      </c>
      <c r="D21" s="32">
        <v>1</v>
      </c>
      <c r="E21" s="32">
        <v>1</v>
      </c>
      <c r="F21" s="32">
        <f>SUM(DVF_Filtering[[#This Row],[Desirability (1-5)]:[Feasibility (1-5)]])</f>
        <v>3</v>
      </c>
      <c r="G21" s="20" t="str">
        <f t="shared" si="0"/>
        <v>Fail</v>
      </c>
    </row>
    <row r="22" spans="1:7" x14ac:dyDescent="0.25">
      <c r="A22" s="30" t="s">
        <v>205</v>
      </c>
      <c r="B22" s="19" t="str">
        <f>VLOOKUP(DVF_Filtering[[#This Row],[ID]],'2. Use Cases'!A:B,2,FALSE)</f>
        <v>Controls Testing</v>
      </c>
      <c r="C22" s="32">
        <v>1</v>
      </c>
      <c r="D22" s="32">
        <v>1</v>
      </c>
      <c r="E22" s="32">
        <v>1</v>
      </c>
      <c r="F22" s="32">
        <f>SUM(DVF_Filtering[[#This Row],[Desirability (1-5)]:[Feasibility (1-5)]])</f>
        <v>3</v>
      </c>
      <c r="G22" s="20" t="str">
        <f t="shared" si="0"/>
        <v>Fail</v>
      </c>
    </row>
    <row r="23" spans="1:7" x14ac:dyDescent="0.25">
      <c r="A23" s="30" t="s">
        <v>206</v>
      </c>
      <c r="B23" s="19" t="str">
        <f>VLOOKUP(DVF_Filtering[[#This Row],[ID]],'2. Use Cases'!A:B,2,FALSE)</f>
        <v>Wholesale Underwriting</v>
      </c>
      <c r="C23" s="32">
        <v>1</v>
      </c>
      <c r="D23" s="32">
        <v>1</v>
      </c>
      <c r="E23" s="32">
        <v>1</v>
      </c>
      <c r="F23" s="32">
        <f>SUM(DVF_Filtering[[#This Row],[Desirability (1-5)]:[Feasibility (1-5)]])</f>
        <v>3</v>
      </c>
      <c r="G23" s="20" t="str">
        <f t="shared" si="0"/>
        <v>Fail</v>
      </c>
    </row>
    <row r="24" spans="1:7" x14ac:dyDescent="0.25">
      <c r="A24" s="30" t="s">
        <v>207</v>
      </c>
      <c r="B24" s="19" t="str">
        <f>VLOOKUP(DVF_Filtering[[#This Row],[ID]],'2. Use Cases'!A:B,2,FALSE)</f>
        <v>Learning Content</v>
      </c>
      <c r="C24" s="32">
        <v>1</v>
      </c>
      <c r="D24" s="32">
        <v>1</v>
      </c>
      <c r="E24" s="32">
        <v>1</v>
      </c>
      <c r="F24" s="32">
        <f>SUM(DVF_Filtering[[#This Row],[Desirability (1-5)]:[Feasibility (1-5)]])</f>
        <v>3</v>
      </c>
      <c r="G24" s="20" t="str">
        <f t="shared" si="0"/>
        <v>Fail</v>
      </c>
    </row>
    <row r="25" spans="1:7" x14ac:dyDescent="0.25">
      <c r="A25" s="30" t="s">
        <v>208</v>
      </c>
      <c r="B25" s="19" t="str">
        <f>VLOOKUP(DVF_Filtering[[#This Row],[ID]],'2. Use Cases'!A:B,2,FALSE)</f>
        <v>Collection Management</v>
      </c>
      <c r="C25" s="32">
        <v>1</v>
      </c>
      <c r="D25" s="32">
        <v>1</v>
      </c>
      <c r="E25" s="32">
        <v>1</v>
      </c>
      <c r="F25" s="32">
        <f>SUM(DVF_Filtering[[#This Row],[Desirability (1-5)]:[Feasibility (1-5)]])</f>
        <v>3</v>
      </c>
      <c r="G25" s="20" t="str">
        <f t="shared" si="0"/>
        <v>Fail</v>
      </c>
    </row>
    <row r="26" spans="1:7" x14ac:dyDescent="0.25">
      <c r="A26" s="30" t="s">
        <v>209</v>
      </c>
      <c r="B26" s="19" t="str">
        <f>VLOOKUP(DVF_Filtering[[#This Row],[ID]],'2. Use Cases'!A:B,2,FALSE)</f>
        <v>Front-end App Personalisation</v>
      </c>
      <c r="C26" s="32">
        <v>1</v>
      </c>
      <c r="D26" s="32">
        <v>1</v>
      </c>
      <c r="E26" s="32">
        <v>1</v>
      </c>
      <c r="F26" s="32">
        <f>SUM(DVF_Filtering[[#This Row],[Desirability (1-5)]:[Feasibility (1-5)]])</f>
        <v>3</v>
      </c>
      <c r="G26" s="20" t="str">
        <f t="shared" si="0"/>
        <v>Fail</v>
      </c>
    </row>
  </sheetData>
  <mergeCells count="1">
    <mergeCell ref="A1:H1"/>
  </mergeCells>
  <conditionalFormatting sqref="G2:G26">
    <cfRule type="cellIs" dxfId="16" priority="1" operator="equal">
      <formula>"Pass"</formula>
    </cfRule>
    <cfRule type="cellIs" dxfId="15" priority="2" operator="equal">
      <formula>"Fail"</formula>
    </cfRule>
  </conditionalFormatting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6"/>
  <sheetViews>
    <sheetView workbookViewId="0">
      <pane ySplit="1" topLeftCell="A2" activePane="bottomLeft" state="frozen"/>
      <selection pane="bottomLeft" activeCell="C3" sqref="C3:C26"/>
    </sheetView>
  </sheetViews>
  <sheetFormatPr defaultRowHeight="15" x14ac:dyDescent="0.25"/>
  <cols>
    <col min="1" max="1" width="10" style="21" customWidth="1"/>
    <col min="2" max="2" width="35" style="21" customWidth="1"/>
    <col min="3" max="3" width="18" style="24" customWidth="1"/>
    <col min="4" max="4" width="16.28515625" style="24" customWidth="1"/>
    <col min="5" max="5" width="33.140625" style="24" customWidth="1"/>
    <col min="6" max="6" width="14.5703125" style="24" customWidth="1"/>
    <col min="7" max="7" width="15" style="24" customWidth="1"/>
    <col min="8" max="8" width="13" style="24" customWidth="1"/>
    <col min="9" max="9" width="12.42578125" style="24" customWidth="1"/>
  </cols>
  <sheetData>
    <row r="1" spans="1:9" ht="30" customHeight="1" x14ac:dyDescent="0.25">
      <c r="A1" s="26" t="s">
        <v>213</v>
      </c>
      <c r="C1" s="21"/>
      <c r="D1" s="21"/>
      <c r="E1" s="21"/>
      <c r="F1" s="21"/>
      <c r="G1" s="21"/>
      <c r="H1" s="21"/>
      <c r="I1" s="21"/>
    </row>
    <row r="2" spans="1:9" x14ac:dyDescent="0.25">
      <c r="A2" s="22" t="s">
        <v>0</v>
      </c>
      <c r="B2" s="22" t="s">
        <v>1</v>
      </c>
      <c r="C2" s="22" t="s">
        <v>210</v>
      </c>
      <c r="D2" s="22" t="s">
        <v>67</v>
      </c>
      <c r="E2" s="22" t="s">
        <v>211</v>
      </c>
      <c r="F2" s="22" t="s">
        <v>68</v>
      </c>
      <c r="G2" s="22" t="s">
        <v>212</v>
      </c>
      <c r="H2" s="22" t="s">
        <v>69</v>
      </c>
      <c r="I2" s="22" t="s">
        <v>70</v>
      </c>
    </row>
    <row r="3" spans="1:9" x14ac:dyDescent="0.25">
      <c r="A3" s="21" t="str">
        <f>'2. Use Cases'!A2</f>
        <v>UC01</v>
      </c>
      <c r="B3" s="23" t="str">
        <f>VLOOKUP(DVF_Filtering[[#This Row],[ID]],'2. Use Cases'!A:B,2,FALSE)</f>
        <v>FrontLine - Partnership Banking</v>
      </c>
      <c r="C3" s="24" t="str">
        <f>VLOOKUP('2. Use Cases'!E2,BusinessValueTable,2,FALSE)</f>
        <v>5</v>
      </c>
      <c r="D3" s="24">
        <v>1</v>
      </c>
      <c r="E3" s="24">
        <v>1</v>
      </c>
      <c r="F3" s="24">
        <f>C3+D3+E3</f>
        <v>7</v>
      </c>
      <c r="G3" s="24">
        <v>1</v>
      </c>
      <c r="H3" s="25">
        <f>IF(G3&gt;0,F3/G3,0)</f>
        <v>7</v>
      </c>
      <c r="I3" s="24">
        <f>IF(H3&gt;0,RANK(H3,H$3:H$25,0),"")</f>
        <v>1</v>
      </c>
    </row>
    <row r="4" spans="1:9" x14ac:dyDescent="0.25">
      <c r="A4" s="21" t="str">
        <f>'2. Use Cases'!A3</f>
        <v>UC02</v>
      </c>
      <c r="B4" s="23" t="str">
        <f>VLOOKUP(DVF_Filtering[[#This Row],[ID]],'2. Use Cases'!A:B,2,FALSE)</f>
        <v>Finance</v>
      </c>
      <c r="C4" s="24" t="str">
        <f>VLOOKUP('2. Use Cases'!E3,BusinessValueTable,2,FALSE)</f>
        <v>5</v>
      </c>
      <c r="D4" s="24">
        <v>1</v>
      </c>
      <c r="E4" s="24">
        <v>1</v>
      </c>
      <c r="F4" s="24">
        <f t="shared" ref="F4:F26" si="0">C4+D4+E4</f>
        <v>7</v>
      </c>
      <c r="G4" s="24">
        <v>1</v>
      </c>
      <c r="H4" s="25">
        <f t="shared" ref="H4:H26" si="1">IF(G4&gt;0,F4/G4,0)</f>
        <v>7</v>
      </c>
      <c r="I4" s="24">
        <f t="shared" ref="I4:I26" si="2">IF(H4&gt;0,RANK(H4,H$3:H$25,0),"")</f>
        <v>1</v>
      </c>
    </row>
    <row r="5" spans="1:9" x14ac:dyDescent="0.25">
      <c r="A5" s="21" t="str">
        <f>'2. Use Cases'!A4</f>
        <v>UC03</v>
      </c>
      <c r="B5" s="23" t="str">
        <f>VLOOKUP(DVF_Filtering[[#This Row],[ID]],'2. Use Cases'!A:B,2,FALSE)</f>
        <v>Analytics and Reporting</v>
      </c>
      <c r="C5" s="24" t="str">
        <f>VLOOKUP('2. Use Cases'!E4,BusinessValueTable,2,FALSE)</f>
        <v>5</v>
      </c>
      <c r="D5" s="24">
        <v>1</v>
      </c>
      <c r="E5" s="24">
        <v>1</v>
      </c>
      <c r="F5" s="24">
        <f t="shared" si="0"/>
        <v>7</v>
      </c>
      <c r="G5" s="24">
        <v>1</v>
      </c>
      <c r="H5" s="25">
        <f t="shared" si="1"/>
        <v>7</v>
      </c>
      <c r="I5" s="24">
        <f t="shared" si="2"/>
        <v>1</v>
      </c>
    </row>
    <row r="6" spans="1:9" x14ac:dyDescent="0.25">
      <c r="A6" s="21" t="str">
        <f>'2. Use Cases'!A5</f>
        <v>UC04</v>
      </c>
      <c r="B6" s="23" t="str">
        <f>VLOOKUP(DVF_Filtering[[#This Row],[ID]],'2. Use Cases'!A:B,2,FALSE)</f>
        <v>Credit Risk</v>
      </c>
      <c r="C6" s="24" t="str">
        <f>VLOOKUP('2. Use Cases'!E5,BusinessValueTable,2,FALSE)</f>
        <v>5</v>
      </c>
      <c r="D6" s="24">
        <v>1</v>
      </c>
      <c r="E6" s="24">
        <v>1</v>
      </c>
      <c r="F6" s="24">
        <f t="shared" si="0"/>
        <v>7</v>
      </c>
      <c r="G6" s="24">
        <v>1</v>
      </c>
      <c r="H6" s="25">
        <f t="shared" si="1"/>
        <v>7</v>
      </c>
      <c r="I6" s="24">
        <f t="shared" si="2"/>
        <v>1</v>
      </c>
    </row>
    <row r="7" spans="1:9" x14ac:dyDescent="0.25">
      <c r="A7" s="21" t="str">
        <f>'2. Use Cases'!A6</f>
        <v>UC05</v>
      </c>
      <c r="B7" s="23" t="str">
        <f>VLOOKUP(DVF_Filtering[[#This Row],[ID]],'2. Use Cases'!A:B,2,FALSE)</f>
        <v>Lending Ops</v>
      </c>
      <c r="C7" s="24" t="str">
        <f>VLOOKUP('2. Use Cases'!E6,BusinessValueTable,2,FALSE)</f>
        <v>5</v>
      </c>
      <c r="D7" s="24">
        <v>1</v>
      </c>
      <c r="E7" s="24">
        <v>1</v>
      </c>
      <c r="F7" s="24">
        <f t="shared" si="0"/>
        <v>7</v>
      </c>
      <c r="G7" s="24">
        <v>1</v>
      </c>
      <c r="H7" s="25">
        <f t="shared" si="1"/>
        <v>7</v>
      </c>
      <c r="I7" s="24">
        <f t="shared" si="2"/>
        <v>1</v>
      </c>
    </row>
    <row r="8" spans="1:9" x14ac:dyDescent="0.25">
      <c r="A8" s="21" t="str">
        <f>'2. Use Cases'!A7</f>
        <v>UC06</v>
      </c>
      <c r="B8" s="23" t="str">
        <f>VLOOKUP(DVF_Filtering[[#This Row],[ID]],'2. Use Cases'!A:B,2,FALSE)</f>
        <v>HyperPersonalization</v>
      </c>
      <c r="C8" s="24" t="str">
        <f>VLOOKUP('2. Use Cases'!E7,BusinessValueTable,2,FALSE)</f>
        <v>5</v>
      </c>
      <c r="D8" s="24">
        <v>1</v>
      </c>
      <c r="E8" s="24">
        <v>1</v>
      </c>
      <c r="F8" s="24">
        <f t="shared" si="0"/>
        <v>7</v>
      </c>
      <c r="G8" s="24">
        <v>1</v>
      </c>
      <c r="H8" s="25">
        <f t="shared" si="1"/>
        <v>7</v>
      </c>
      <c r="I8" s="24">
        <f t="shared" si="2"/>
        <v>1</v>
      </c>
    </row>
    <row r="9" spans="1:9" x14ac:dyDescent="0.25">
      <c r="A9" s="21" t="str">
        <f>'2. Use Cases'!A8</f>
        <v>UC07</v>
      </c>
      <c r="B9" s="23" t="str">
        <f>VLOOKUP(DVF_Filtering[[#This Row],[ID]],'2. Use Cases'!A:B,2,FALSE)</f>
        <v>Contact Centre</v>
      </c>
      <c r="C9" s="24" t="str">
        <f>VLOOKUP('2. Use Cases'!E8,BusinessValueTable,2,FALSE)</f>
        <v>5</v>
      </c>
      <c r="D9" s="24">
        <v>1</v>
      </c>
      <c r="E9" s="24">
        <v>1</v>
      </c>
      <c r="F9" s="24">
        <f t="shared" si="0"/>
        <v>7</v>
      </c>
      <c r="G9" s="24">
        <v>1</v>
      </c>
      <c r="H9" s="25">
        <f t="shared" si="1"/>
        <v>7</v>
      </c>
      <c r="I9" s="24">
        <f t="shared" si="2"/>
        <v>1</v>
      </c>
    </row>
    <row r="10" spans="1:9" x14ac:dyDescent="0.25">
      <c r="A10" s="21" t="str">
        <f>'2. Use Cases'!A9</f>
        <v>UC08</v>
      </c>
      <c r="B10" s="23" t="str">
        <f>VLOOKUP(DVF_Filtering[[#This Row],[ID]],'2. Use Cases'!A:B,2,FALSE)</f>
        <v>Security AI</v>
      </c>
      <c r="C10" s="24" t="str">
        <f>VLOOKUP('2. Use Cases'!E9,BusinessValueTable,2,FALSE)</f>
        <v>5</v>
      </c>
      <c r="D10" s="24">
        <v>1</v>
      </c>
      <c r="E10" s="24">
        <v>1</v>
      </c>
      <c r="F10" s="24">
        <f t="shared" si="0"/>
        <v>7</v>
      </c>
      <c r="G10" s="24">
        <v>1</v>
      </c>
      <c r="H10" s="25">
        <f t="shared" si="1"/>
        <v>7</v>
      </c>
      <c r="I10" s="24">
        <f t="shared" si="2"/>
        <v>1</v>
      </c>
    </row>
    <row r="11" spans="1:9" x14ac:dyDescent="0.25">
      <c r="A11" s="21" t="str">
        <f>'2. Use Cases'!A10</f>
        <v>UC09</v>
      </c>
      <c r="B11" s="23" t="str">
        <f>VLOOKUP(DVF_Filtering[[#This Row],[ID]],'2. Use Cases'!A:B,2,FALSE)</f>
        <v>Data Products</v>
      </c>
      <c r="C11" s="24" t="str">
        <f>VLOOKUP('2. Use Cases'!E10,BusinessValueTable,2,FALSE)</f>
        <v>5</v>
      </c>
      <c r="D11" s="24">
        <v>1</v>
      </c>
      <c r="E11" s="24">
        <v>1</v>
      </c>
      <c r="F11" s="24">
        <f t="shared" si="0"/>
        <v>7</v>
      </c>
      <c r="G11" s="24">
        <v>1</v>
      </c>
      <c r="H11" s="25">
        <f t="shared" si="1"/>
        <v>7</v>
      </c>
      <c r="I11" s="24">
        <f t="shared" si="2"/>
        <v>1</v>
      </c>
    </row>
    <row r="12" spans="1:9" x14ac:dyDescent="0.25">
      <c r="A12" s="21" t="str">
        <f>'2. Use Cases'!A11</f>
        <v>UC10</v>
      </c>
      <c r="B12" s="23" t="str">
        <f>VLOOKUP(DVF_Filtering[[#This Row],[ID]],'2. Use Cases'!A:B,2,FALSE)</f>
        <v>SDLC</v>
      </c>
      <c r="C12" s="24" t="str">
        <f>VLOOKUP('2. Use Cases'!E11,BusinessValueTable,2,FALSE)</f>
        <v>5</v>
      </c>
      <c r="D12" s="24">
        <v>1</v>
      </c>
      <c r="E12" s="24">
        <v>1</v>
      </c>
      <c r="F12" s="24">
        <f t="shared" si="0"/>
        <v>7</v>
      </c>
      <c r="G12" s="24">
        <v>1</v>
      </c>
      <c r="H12" s="25">
        <f t="shared" si="1"/>
        <v>7</v>
      </c>
      <c r="I12" s="24">
        <f t="shared" si="2"/>
        <v>1</v>
      </c>
    </row>
    <row r="13" spans="1:9" x14ac:dyDescent="0.25">
      <c r="A13" s="21" t="str">
        <f>'2. Use Cases'!A12</f>
        <v>UC11</v>
      </c>
      <c r="B13" s="23" t="str">
        <f>VLOOKUP(DVF_Filtering[[#This Row],[ID]],'2. Use Cases'!A:B,2,FALSE)</f>
        <v>Fincrime</v>
      </c>
      <c r="C13" s="24" t="str">
        <f>VLOOKUP('2. Use Cases'!E12,BusinessValueTable,2,FALSE)</f>
        <v>5</v>
      </c>
      <c r="D13" s="24">
        <v>1</v>
      </c>
      <c r="E13" s="24">
        <v>1</v>
      </c>
      <c r="F13" s="24">
        <f t="shared" si="0"/>
        <v>7</v>
      </c>
      <c r="G13" s="24">
        <v>1</v>
      </c>
      <c r="H13" s="25">
        <f t="shared" si="1"/>
        <v>7</v>
      </c>
      <c r="I13" s="24">
        <f t="shared" si="2"/>
        <v>1</v>
      </c>
    </row>
    <row r="14" spans="1:9" x14ac:dyDescent="0.25">
      <c r="A14" s="21" t="str">
        <f>'2. Use Cases'!A13</f>
        <v>UC12</v>
      </c>
      <c r="B14" s="23" t="str">
        <f>VLOOKUP(DVF_Filtering[[#This Row],[ID]],'2. Use Cases'!A:B,2,FALSE)</f>
        <v>QA/QC</v>
      </c>
      <c r="C14" s="24" t="str">
        <f>VLOOKUP('2. Use Cases'!E13,BusinessValueTable,2,FALSE)</f>
        <v>5</v>
      </c>
      <c r="D14" s="24">
        <v>1</v>
      </c>
      <c r="E14" s="24">
        <v>1</v>
      </c>
      <c r="F14" s="24">
        <f t="shared" si="0"/>
        <v>7</v>
      </c>
      <c r="G14" s="24">
        <v>1</v>
      </c>
      <c r="H14" s="25">
        <f t="shared" si="1"/>
        <v>7</v>
      </c>
      <c r="I14" s="24">
        <f t="shared" si="2"/>
        <v>1</v>
      </c>
    </row>
    <row r="15" spans="1:9" x14ac:dyDescent="0.25">
      <c r="A15" s="21" t="str">
        <f>'2. Use Cases'!A14</f>
        <v>UC13</v>
      </c>
      <c r="B15" s="23" t="str">
        <f>VLOOKUP(DVF_Filtering[[#This Row],[ID]],'2. Use Cases'!A:B,2,FALSE)</f>
        <v>Fraud Ops</v>
      </c>
      <c r="C15" s="24" t="str">
        <f>VLOOKUP('2. Use Cases'!E14,BusinessValueTable,2,FALSE)</f>
        <v>5</v>
      </c>
      <c r="D15" s="24">
        <v>1</v>
      </c>
      <c r="E15" s="24">
        <v>1</v>
      </c>
      <c r="F15" s="24">
        <f t="shared" si="0"/>
        <v>7</v>
      </c>
      <c r="G15" s="24">
        <v>1</v>
      </c>
      <c r="H15" s="25">
        <f t="shared" si="1"/>
        <v>7</v>
      </c>
      <c r="I15" s="24">
        <f t="shared" si="2"/>
        <v>1</v>
      </c>
    </row>
    <row r="16" spans="1:9" x14ac:dyDescent="0.25">
      <c r="A16" s="21" t="str">
        <f>'2. Use Cases'!A15</f>
        <v>UC14</v>
      </c>
      <c r="B16" s="23" t="str">
        <f>VLOOKUP(DVF_Filtering[[#This Row],[ID]],'2. Use Cases'!A:B,2,FALSE)</f>
        <v>Onboarding</v>
      </c>
      <c r="C16" s="24" t="str">
        <f>VLOOKUP('2. Use Cases'!E15,BusinessValueTable,2,FALSE)</f>
        <v>5</v>
      </c>
      <c r="D16" s="24">
        <v>1</v>
      </c>
      <c r="E16" s="24">
        <v>1</v>
      </c>
      <c r="F16" s="24">
        <f t="shared" si="0"/>
        <v>7</v>
      </c>
      <c r="G16" s="24">
        <v>1</v>
      </c>
      <c r="H16" s="25">
        <f t="shared" si="1"/>
        <v>7</v>
      </c>
      <c r="I16" s="24">
        <f t="shared" si="2"/>
        <v>1</v>
      </c>
    </row>
    <row r="17" spans="1:9" x14ac:dyDescent="0.25">
      <c r="A17" s="21" t="str">
        <f>'2. Use Cases'!A16</f>
        <v>UC15</v>
      </c>
      <c r="B17" s="23" t="str">
        <f>VLOOKUP(DVF_Filtering[[#This Row],[ID]],'2. Use Cases'!A:B,2,FALSE)</f>
        <v>Risk Functions</v>
      </c>
      <c r="C17" s="24" t="str">
        <f>VLOOKUP('2. Use Cases'!E16,BusinessValueTable,2,FALSE)</f>
        <v>5</v>
      </c>
      <c r="D17" s="24">
        <v>1</v>
      </c>
      <c r="E17" s="24">
        <v>1</v>
      </c>
      <c r="F17" s="24">
        <f t="shared" si="0"/>
        <v>7</v>
      </c>
      <c r="G17" s="24">
        <v>1</v>
      </c>
      <c r="H17" s="25">
        <f t="shared" si="1"/>
        <v>7</v>
      </c>
      <c r="I17" s="24">
        <f t="shared" si="2"/>
        <v>1</v>
      </c>
    </row>
    <row r="18" spans="1:9" x14ac:dyDescent="0.25">
      <c r="A18" s="21" t="str">
        <f>'2. Use Cases'!A17</f>
        <v>UC16</v>
      </c>
      <c r="B18" s="23" t="str">
        <f>VLOOKUP(DVF_Filtering[[#This Row],[ID]],'2. Use Cases'!A:B,2,FALSE)</f>
        <v>IT Ops</v>
      </c>
      <c r="C18" s="24" t="str">
        <f>VLOOKUP('2. Use Cases'!E17,BusinessValueTable,2,FALSE)</f>
        <v>5</v>
      </c>
      <c r="D18" s="24">
        <v>1</v>
      </c>
      <c r="E18" s="24">
        <v>1</v>
      </c>
      <c r="F18" s="24">
        <f t="shared" si="0"/>
        <v>7</v>
      </c>
      <c r="G18" s="24">
        <v>1</v>
      </c>
      <c r="H18" s="25">
        <f t="shared" si="1"/>
        <v>7</v>
      </c>
      <c r="I18" s="24">
        <f t="shared" si="2"/>
        <v>1</v>
      </c>
    </row>
    <row r="19" spans="1:9" x14ac:dyDescent="0.25">
      <c r="A19" s="21" t="str">
        <f>'2. Use Cases'!A18</f>
        <v>UC17</v>
      </c>
      <c r="B19" s="23" t="str">
        <f>VLOOKUP(DVF_Filtering[[#This Row],[ID]],'2. Use Cases'!A:B,2,FALSE)</f>
        <v>FrontLine - CIB</v>
      </c>
      <c r="C19" s="24" t="str">
        <f>VLOOKUP('2. Use Cases'!E18,BusinessValueTable,2,FALSE)</f>
        <v>5</v>
      </c>
      <c r="D19" s="24">
        <v>1</v>
      </c>
      <c r="E19" s="24">
        <v>1</v>
      </c>
      <c r="F19" s="24">
        <f t="shared" si="0"/>
        <v>7</v>
      </c>
      <c r="G19" s="24">
        <v>1</v>
      </c>
      <c r="H19" s="25">
        <f t="shared" si="1"/>
        <v>7</v>
      </c>
      <c r="I19" s="24">
        <f t="shared" si="2"/>
        <v>1</v>
      </c>
    </row>
    <row r="20" spans="1:9" x14ac:dyDescent="0.25">
      <c r="A20" s="21" t="str">
        <f>'2. Use Cases'!A19</f>
        <v>UC18</v>
      </c>
      <c r="B20" s="23" t="str">
        <f>VLOOKUP(DVF_Filtering[[#This Row],[ID]],'2. Use Cases'!A:B,2,FALSE)</f>
        <v>Procurement</v>
      </c>
      <c r="C20" s="24" t="str">
        <f>VLOOKUP('2. Use Cases'!E19,BusinessValueTable,2,FALSE)</f>
        <v>5</v>
      </c>
      <c r="D20" s="24">
        <v>1</v>
      </c>
      <c r="E20" s="24">
        <v>1</v>
      </c>
      <c r="F20" s="24">
        <f t="shared" si="0"/>
        <v>7</v>
      </c>
      <c r="G20" s="24">
        <v>1</v>
      </c>
      <c r="H20" s="25">
        <f t="shared" si="1"/>
        <v>7</v>
      </c>
      <c r="I20" s="24">
        <f t="shared" si="2"/>
        <v>1</v>
      </c>
    </row>
    <row r="21" spans="1:9" x14ac:dyDescent="0.25">
      <c r="A21" s="21" t="str">
        <f>'2. Use Cases'!A20</f>
        <v>UC19</v>
      </c>
      <c r="B21" s="23" t="str">
        <f>VLOOKUP(DVF_Filtering[[#This Row],[ID]],'2. Use Cases'!A:B,2,FALSE)</f>
        <v>Payment Disputes</v>
      </c>
      <c r="C21" s="24" t="str">
        <f>VLOOKUP('2. Use Cases'!E20,BusinessValueTable,2,FALSE)</f>
        <v>5</v>
      </c>
      <c r="D21" s="24">
        <v>1</v>
      </c>
      <c r="E21" s="24">
        <v>1</v>
      </c>
      <c r="F21" s="24">
        <f t="shared" si="0"/>
        <v>7</v>
      </c>
      <c r="G21" s="24">
        <v>1</v>
      </c>
      <c r="H21" s="25">
        <f t="shared" si="1"/>
        <v>7</v>
      </c>
      <c r="I21" s="24">
        <f t="shared" si="2"/>
        <v>1</v>
      </c>
    </row>
    <row r="22" spans="1:9" x14ac:dyDescent="0.25">
      <c r="A22" s="21" t="str">
        <f>'2. Use Cases'!A21</f>
        <v>UC20</v>
      </c>
      <c r="B22" s="23" t="str">
        <f>VLOOKUP(DVF_Filtering[[#This Row],[ID]],'2. Use Cases'!A:B,2,FALSE)</f>
        <v>Controls Testing</v>
      </c>
      <c r="C22" s="24" t="str">
        <f>VLOOKUP('2. Use Cases'!E21,BusinessValueTable,2,FALSE)</f>
        <v>5</v>
      </c>
      <c r="D22" s="24">
        <v>1</v>
      </c>
      <c r="E22" s="24">
        <v>1</v>
      </c>
      <c r="F22" s="24">
        <f t="shared" si="0"/>
        <v>7</v>
      </c>
      <c r="G22" s="24">
        <v>1</v>
      </c>
      <c r="H22" s="25">
        <f t="shared" si="1"/>
        <v>7</v>
      </c>
      <c r="I22" s="24">
        <f t="shared" si="2"/>
        <v>1</v>
      </c>
    </row>
    <row r="23" spans="1:9" x14ac:dyDescent="0.25">
      <c r="A23" s="21" t="str">
        <f>'2. Use Cases'!A22</f>
        <v>UC21</v>
      </c>
      <c r="B23" s="23" t="str">
        <f>VLOOKUP(DVF_Filtering[[#This Row],[ID]],'2. Use Cases'!A:B,2,FALSE)</f>
        <v>Wholesale Underwriting</v>
      </c>
      <c r="C23" s="24" t="str">
        <f>VLOOKUP('2. Use Cases'!E22,BusinessValueTable,2,FALSE)</f>
        <v>5</v>
      </c>
      <c r="D23" s="24">
        <v>1</v>
      </c>
      <c r="E23" s="24">
        <v>1</v>
      </c>
      <c r="F23" s="24">
        <f t="shared" si="0"/>
        <v>7</v>
      </c>
      <c r="G23" s="24">
        <v>1</v>
      </c>
      <c r="H23" s="25">
        <f t="shared" si="1"/>
        <v>7</v>
      </c>
      <c r="I23" s="24">
        <f t="shared" si="2"/>
        <v>1</v>
      </c>
    </row>
    <row r="24" spans="1:9" x14ac:dyDescent="0.25">
      <c r="A24" s="21" t="str">
        <f>'2. Use Cases'!A23</f>
        <v>UC22</v>
      </c>
      <c r="B24" s="23" t="str">
        <f>VLOOKUP(DVF_Filtering[[#This Row],[ID]],'2. Use Cases'!A:B,2,FALSE)</f>
        <v>Learning Content</v>
      </c>
      <c r="C24" s="24" t="str">
        <f>VLOOKUP('2. Use Cases'!E23,BusinessValueTable,2,FALSE)</f>
        <v>5</v>
      </c>
      <c r="D24" s="24">
        <v>1</v>
      </c>
      <c r="E24" s="24">
        <v>1</v>
      </c>
      <c r="F24" s="24">
        <f t="shared" si="0"/>
        <v>7</v>
      </c>
      <c r="G24" s="24">
        <v>1</v>
      </c>
      <c r="H24" s="25">
        <f t="shared" si="1"/>
        <v>7</v>
      </c>
      <c r="I24" s="24">
        <f t="shared" si="2"/>
        <v>1</v>
      </c>
    </row>
    <row r="25" spans="1:9" x14ac:dyDescent="0.25">
      <c r="A25" s="21" t="str">
        <f>'2. Use Cases'!A24</f>
        <v>UC23</v>
      </c>
      <c r="B25" s="23" t="str">
        <f>VLOOKUP(DVF_Filtering[[#This Row],[ID]],'2. Use Cases'!A:B,2,FALSE)</f>
        <v>Collection Management</v>
      </c>
      <c r="C25" s="24" t="str">
        <f>VLOOKUP('2. Use Cases'!E24,BusinessValueTable,2,FALSE)</f>
        <v>5</v>
      </c>
      <c r="D25" s="24">
        <v>1</v>
      </c>
      <c r="E25" s="24">
        <v>1</v>
      </c>
      <c r="F25" s="24">
        <f t="shared" si="0"/>
        <v>7</v>
      </c>
      <c r="G25" s="24">
        <v>1</v>
      </c>
      <c r="H25" s="25">
        <f t="shared" si="1"/>
        <v>7</v>
      </c>
      <c r="I25" s="24">
        <f t="shared" si="2"/>
        <v>1</v>
      </c>
    </row>
    <row r="26" spans="1:9" x14ac:dyDescent="0.25">
      <c r="A26" s="21" t="str">
        <f>'2. Use Cases'!A25</f>
        <v>UC24</v>
      </c>
      <c r="B26" s="23" t="str">
        <f>VLOOKUP(DVF_Filtering[[#This Row],[ID]],'2. Use Cases'!A:B,2,FALSE)</f>
        <v>Front-end App Personalisation</v>
      </c>
      <c r="C26" s="24" t="str">
        <f>VLOOKUP('2. Use Cases'!E25,BusinessValueTable,2,FALSE)</f>
        <v>5</v>
      </c>
      <c r="D26" s="24">
        <v>1</v>
      </c>
      <c r="E26" s="24">
        <v>1</v>
      </c>
      <c r="F26" s="24">
        <f t="shared" si="0"/>
        <v>7</v>
      </c>
      <c r="G26" s="24">
        <v>1</v>
      </c>
      <c r="H26" s="25">
        <f t="shared" si="1"/>
        <v>7</v>
      </c>
      <c r="I26" s="24">
        <f t="shared" si="2"/>
        <v>1</v>
      </c>
    </row>
  </sheetData>
  <conditionalFormatting sqref="I2:I26">
    <cfRule type="cellIs" dxfId="14" priority="1" operator="lessThanOrEqual">
      <formula>5</formula>
    </cfRule>
    <cfRule type="cellIs" dxfId="13" priority="2" operator="between">
      <formula>6</formula>
      <formula>10</formula>
    </cfRule>
    <cfRule type="cellIs" dxfId="12" priority="3" operator="between">
      <formula>11</formula>
      <formula>15</formula>
    </cfRule>
  </conditionalFormatting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6"/>
  <sheetViews>
    <sheetView workbookViewId="0">
      <pane ySplit="1" topLeftCell="A2" activePane="bottomLeft" state="frozen"/>
      <selection pane="bottomLeft" sqref="A1:H1"/>
    </sheetView>
  </sheetViews>
  <sheetFormatPr defaultRowHeight="15" x14ac:dyDescent="0.25"/>
  <cols>
    <col min="1" max="1" width="10" customWidth="1"/>
    <col min="2" max="2" width="35" customWidth="1"/>
    <col min="3" max="3" width="12" customWidth="1"/>
    <col min="4" max="5" width="30" customWidth="1"/>
    <col min="6" max="6" width="15" customWidth="1"/>
    <col min="7" max="7" width="18" customWidth="1"/>
    <col min="8" max="8" width="50" customWidth="1"/>
  </cols>
  <sheetData>
    <row r="1" spans="1:8" ht="30" customHeight="1" x14ac:dyDescent="0.25">
      <c r="A1" s="10" t="s">
        <v>71</v>
      </c>
      <c r="B1" s="11"/>
      <c r="C1" s="11"/>
      <c r="D1" s="11"/>
      <c r="E1" s="11"/>
      <c r="F1" s="11"/>
      <c r="G1" s="11"/>
      <c r="H1" s="11"/>
    </row>
    <row r="2" spans="1:8" ht="30" x14ac:dyDescent="0.25">
      <c r="A2" s="1" t="s">
        <v>0</v>
      </c>
      <c r="B2" s="1" t="s">
        <v>1</v>
      </c>
      <c r="C2" s="1" t="s">
        <v>70</v>
      </c>
      <c r="D2" s="1" t="s">
        <v>72</v>
      </c>
      <c r="E2" s="1" t="s">
        <v>73</v>
      </c>
      <c r="F2" s="1" t="s">
        <v>74</v>
      </c>
      <c r="G2" s="1" t="s">
        <v>75</v>
      </c>
      <c r="H2" s="1" t="s">
        <v>76</v>
      </c>
    </row>
    <row r="3" spans="1:8" x14ac:dyDescent="0.25">
      <c r="A3" t="str">
        <f>'2. Use Cases'!A2</f>
        <v>UC01</v>
      </c>
      <c r="B3" t="str">
        <f>'2. Use Cases'!B2</f>
        <v>FrontLine - Partnership Banking</v>
      </c>
      <c r="C3">
        <f>'4. WSJF Scoring'!I3</f>
        <v>1</v>
      </c>
    </row>
    <row r="4" spans="1:8" x14ac:dyDescent="0.25">
      <c r="A4" t="str">
        <f>'2. Use Cases'!A3</f>
        <v>UC02</v>
      </c>
      <c r="B4" t="str">
        <f>'2. Use Cases'!B3</f>
        <v>Finance</v>
      </c>
      <c r="C4">
        <f>'4. WSJF Scoring'!I4</f>
        <v>1</v>
      </c>
    </row>
    <row r="5" spans="1:8" x14ac:dyDescent="0.25">
      <c r="A5" t="str">
        <f>'2. Use Cases'!A4</f>
        <v>UC03</v>
      </c>
      <c r="B5" t="str">
        <f>'2. Use Cases'!B4</f>
        <v>Analytics and Reporting</v>
      </c>
      <c r="C5">
        <f>'4. WSJF Scoring'!I5</f>
        <v>1</v>
      </c>
    </row>
    <row r="6" spans="1:8" x14ac:dyDescent="0.25">
      <c r="A6" t="str">
        <f>'2. Use Cases'!A5</f>
        <v>UC04</v>
      </c>
      <c r="B6" t="str">
        <f>'2. Use Cases'!B5</f>
        <v>Credit Risk</v>
      </c>
      <c r="C6">
        <f>'4. WSJF Scoring'!I6</f>
        <v>1</v>
      </c>
    </row>
    <row r="7" spans="1:8" x14ac:dyDescent="0.25">
      <c r="A7" t="str">
        <f>'2. Use Cases'!A6</f>
        <v>UC05</v>
      </c>
      <c r="B7" t="str">
        <f>'2. Use Cases'!B6</f>
        <v>Lending Ops</v>
      </c>
      <c r="C7">
        <f>'4. WSJF Scoring'!I7</f>
        <v>1</v>
      </c>
    </row>
    <row r="8" spans="1:8" x14ac:dyDescent="0.25">
      <c r="A8" t="str">
        <f>'2. Use Cases'!A7</f>
        <v>UC06</v>
      </c>
      <c r="B8" t="str">
        <f>'2. Use Cases'!B7</f>
        <v>HyperPersonalization</v>
      </c>
      <c r="C8">
        <f>'4. WSJF Scoring'!I8</f>
        <v>1</v>
      </c>
    </row>
    <row r="9" spans="1:8" x14ac:dyDescent="0.25">
      <c r="A9" t="str">
        <f>'2. Use Cases'!A8</f>
        <v>UC07</v>
      </c>
      <c r="B9" t="str">
        <f>'2. Use Cases'!B8</f>
        <v>Contact Centre</v>
      </c>
      <c r="C9">
        <f>'4. WSJF Scoring'!I9</f>
        <v>1</v>
      </c>
    </row>
    <row r="10" spans="1:8" x14ac:dyDescent="0.25">
      <c r="A10" t="str">
        <f>'2. Use Cases'!A9</f>
        <v>UC08</v>
      </c>
      <c r="B10" t="str">
        <f>'2. Use Cases'!B9</f>
        <v>Security AI</v>
      </c>
      <c r="C10">
        <f>'4. WSJF Scoring'!I10</f>
        <v>1</v>
      </c>
    </row>
    <row r="11" spans="1:8" x14ac:dyDescent="0.25">
      <c r="A11" t="str">
        <f>'2. Use Cases'!A10</f>
        <v>UC09</v>
      </c>
      <c r="B11" t="str">
        <f>'2. Use Cases'!B10</f>
        <v>Data Products</v>
      </c>
      <c r="C11">
        <f>'4. WSJF Scoring'!I11</f>
        <v>1</v>
      </c>
    </row>
    <row r="12" spans="1:8" x14ac:dyDescent="0.25">
      <c r="A12" t="str">
        <f>'2. Use Cases'!A11</f>
        <v>UC10</v>
      </c>
      <c r="B12" t="str">
        <f>'2. Use Cases'!B11</f>
        <v>SDLC</v>
      </c>
      <c r="C12">
        <f>'4. WSJF Scoring'!I12</f>
        <v>1</v>
      </c>
    </row>
    <row r="13" spans="1:8" x14ac:dyDescent="0.25">
      <c r="A13" t="str">
        <f>'2. Use Cases'!A12</f>
        <v>UC11</v>
      </c>
      <c r="B13" t="str">
        <f>'2. Use Cases'!B12</f>
        <v>Fincrime</v>
      </c>
      <c r="C13">
        <f>'4. WSJF Scoring'!I13</f>
        <v>1</v>
      </c>
    </row>
    <row r="14" spans="1:8" x14ac:dyDescent="0.25">
      <c r="A14" t="str">
        <f>'2. Use Cases'!A13</f>
        <v>UC12</v>
      </c>
      <c r="B14" t="str">
        <f>'2. Use Cases'!B13</f>
        <v>QA/QC</v>
      </c>
      <c r="C14">
        <f>'4. WSJF Scoring'!I14</f>
        <v>1</v>
      </c>
    </row>
    <row r="15" spans="1:8" x14ac:dyDescent="0.25">
      <c r="A15" t="str">
        <f>'2. Use Cases'!A14</f>
        <v>UC13</v>
      </c>
      <c r="B15" t="str">
        <f>'2. Use Cases'!B14</f>
        <v>Fraud Ops</v>
      </c>
      <c r="C15">
        <f>'4. WSJF Scoring'!I15</f>
        <v>1</v>
      </c>
    </row>
    <row r="16" spans="1:8" x14ac:dyDescent="0.25">
      <c r="A16" t="str">
        <f>'2. Use Cases'!A15</f>
        <v>UC14</v>
      </c>
      <c r="B16" t="str">
        <f>'2. Use Cases'!B15</f>
        <v>Onboarding</v>
      </c>
      <c r="C16">
        <f>'4. WSJF Scoring'!I16</f>
        <v>1</v>
      </c>
    </row>
    <row r="17" spans="1:3" x14ac:dyDescent="0.25">
      <c r="A17" t="str">
        <f>'2. Use Cases'!A16</f>
        <v>UC15</v>
      </c>
      <c r="B17" t="str">
        <f>'2. Use Cases'!B16</f>
        <v>Risk Functions</v>
      </c>
      <c r="C17">
        <f>'4. WSJF Scoring'!I17</f>
        <v>1</v>
      </c>
    </row>
    <row r="18" spans="1:3" x14ac:dyDescent="0.25">
      <c r="A18" t="str">
        <f>'2. Use Cases'!A17</f>
        <v>UC16</v>
      </c>
      <c r="B18" t="str">
        <f>'2. Use Cases'!B17</f>
        <v>IT Ops</v>
      </c>
      <c r="C18">
        <f>'4. WSJF Scoring'!I18</f>
        <v>1</v>
      </c>
    </row>
    <row r="19" spans="1:3" x14ac:dyDescent="0.25">
      <c r="A19" t="str">
        <f>'2. Use Cases'!A18</f>
        <v>UC17</v>
      </c>
      <c r="B19" t="str">
        <f>'2. Use Cases'!B18</f>
        <v>FrontLine - CIB</v>
      </c>
      <c r="C19">
        <f>'4. WSJF Scoring'!I19</f>
        <v>1</v>
      </c>
    </row>
    <row r="20" spans="1:3" x14ac:dyDescent="0.25">
      <c r="A20" t="str">
        <f>'2. Use Cases'!A19</f>
        <v>UC18</v>
      </c>
      <c r="B20" t="str">
        <f>'2. Use Cases'!B19</f>
        <v>Procurement</v>
      </c>
      <c r="C20">
        <f>'4. WSJF Scoring'!I20</f>
        <v>1</v>
      </c>
    </row>
    <row r="21" spans="1:3" x14ac:dyDescent="0.25">
      <c r="A21" t="str">
        <f>'2. Use Cases'!A20</f>
        <v>UC19</v>
      </c>
      <c r="B21" t="str">
        <f>'2. Use Cases'!B20</f>
        <v>Payment Disputes</v>
      </c>
      <c r="C21">
        <f>'4. WSJF Scoring'!I21</f>
        <v>1</v>
      </c>
    </row>
    <row r="22" spans="1:3" x14ac:dyDescent="0.25">
      <c r="A22" t="str">
        <f>'2. Use Cases'!A21</f>
        <v>UC20</v>
      </c>
      <c r="B22" t="str">
        <f>'2. Use Cases'!B21</f>
        <v>Controls Testing</v>
      </c>
      <c r="C22">
        <f>'4. WSJF Scoring'!I22</f>
        <v>1</v>
      </c>
    </row>
    <row r="23" spans="1:3" x14ac:dyDescent="0.25">
      <c r="A23" t="str">
        <f>'2. Use Cases'!A22</f>
        <v>UC21</v>
      </c>
      <c r="B23" t="str">
        <f>'2. Use Cases'!B22</f>
        <v>Wholesale Underwriting</v>
      </c>
      <c r="C23">
        <f>'4. WSJF Scoring'!I23</f>
        <v>1</v>
      </c>
    </row>
    <row r="24" spans="1:3" x14ac:dyDescent="0.25">
      <c r="A24" t="str">
        <f>'2. Use Cases'!A23</f>
        <v>UC22</v>
      </c>
      <c r="B24" t="str">
        <f>'2. Use Cases'!B23</f>
        <v>Learning Content</v>
      </c>
      <c r="C24">
        <f>'4. WSJF Scoring'!I24</f>
        <v>1</v>
      </c>
    </row>
    <row r="25" spans="1:3" x14ac:dyDescent="0.25">
      <c r="A25" t="str">
        <f>'2. Use Cases'!A24</f>
        <v>UC23</v>
      </c>
      <c r="B25" t="str">
        <f>'2. Use Cases'!B24</f>
        <v>Collection Management</v>
      </c>
      <c r="C25">
        <f>'4. WSJF Scoring'!I25</f>
        <v>1</v>
      </c>
    </row>
    <row r="26" spans="1:3" x14ac:dyDescent="0.25">
      <c r="A26" t="str">
        <f>'2. Use Cases'!A25</f>
        <v>UC24</v>
      </c>
      <c r="B26" t="str">
        <f>'2. Use Cases'!B25</f>
        <v>Front-end App Personalisation</v>
      </c>
      <c r="C26">
        <f>'4. WSJF Scoring'!I26</f>
        <v>1</v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6"/>
  <sheetViews>
    <sheetView workbookViewId="0">
      <pane ySplit="1" topLeftCell="A2" activePane="bottomLeft" state="frozen"/>
      <selection pane="bottomLeft" activeCell="J3" sqref="J3"/>
    </sheetView>
  </sheetViews>
  <sheetFormatPr defaultRowHeight="15" x14ac:dyDescent="0.25"/>
  <cols>
    <col min="1" max="1" width="10" style="4" customWidth="1"/>
    <col min="2" max="2" width="35" customWidth="1"/>
    <col min="3" max="3" width="12.42578125" style="4" customWidth="1"/>
    <col min="4" max="4" width="14.5703125" style="4" customWidth="1"/>
    <col min="5" max="5" width="13.7109375" style="4" customWidth="1"/>
    <col min="6" max="7" width="12" style="4" customWidth="1"/>
    <col min="8" max="8" width="15" style="4" customWidth="1"/>
    <col min="9" max="11" width="10" style="4" customWidth="1"/>
    <col min="12" max="12" width="50" customWidth="1"/>
  </cols>
  <sheetData>
    <row r="1" spans="1:12" ht="30" customHeight="1" x14ac:dyDescent="0.25">
      <c r="A1" s="10" t="s">
        <v>216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x14ac:dyDescent="0.25">
      <c r="A2" s="5" t="s">
        <v>0</v>
      </c>
      <c r="B2" s="5" t="s">
        <v>1</v>
      </c>
      <c r="C2" s="5" t="s">
        <v>70</v>
      </c>
      <c r="D2" s="5" t="s">
        <v>68</v>
      </c>
      <c r="E2" s="5" t="s">
        <v>214</v>
      </c>
      <c r="F2" s="5" t="s">
        <v>77</v>
      </c>
      <c r="G2" s="5" t="s">
        <v>78</v>
      </c>
      <c r="H2" s="5" t="s">
        <v>79</v>
      </c>
      <c r="I2" s="5" t="s">
        <v>80</v>
      </c>
      <c r="J2" s="5" t="s">
        <v>81</v>
      </c>
      <c r="K2" s="5" t="s">
        <v>82</v>
      </c>
      <c r="L2" s="5" t="s">
        <v>66</v>
      </c>
    </row>
    <row r="3" spans="1:12" x14ac:dyDescent="0.25">
      <c r="A3" s="4" t="str">
        <f>'2. Use Cases'!A2</f>
        <v>UC01</v>
      </c>
      <c r="B3" s="14" t="str">
        <f>VLOOKUP(DVF_Filtering[[#This Row],[ID]],'2. Use Cases'!A:B,2,FALSE)</f>
        <v>FrontLine - Partnership Banking</v>
      </c>
      <c r="C3" s="4">
        <f>'4. WSJF Scoring'!I3</f>
        <v>1</v>
      </c>
      <c r="D3" s="4">
        <f>'4. WSJF Scoring'!F3</f>
        <v>7</v>
      </c>
      <c r="E3" s="4">
        <f>'4. WSJF Scoring'!G3</f>
        <v>1</v>
      </c>
      <c r="F3" s="4" t="str">
        <f>IF(D3&gt;=30,"High",IF(D3&gt;=15,"Medium","Low"))</f>
        <v>Low</v>
      </c>
      <c r="G3" s="4" t="str">
        <f>IF(E3&gt;=13,"High",IF(E3&gt;=5,"Medium","Low"))</f>
        <v>Low</v>
      </c>
      <c r="H3" s="4" t="str">
        <f>IF(F3="High",IF(G3="Low","Quick Win","Strategic Bet"),IF(F3="Medium","Fill-in","Avoid"))</f>
        <v>Avoid</v>
      </c>
      <c r="I3" s="4">
        <f>'5. Dependencies Schedule'!G3</f>
        <v>0</v>
      </c>
      <c r="J3" s="4" t="s">
        <v>215</v>
      </c>
      <c r="K3" s="4" t="s">
        <v>215</v>
      </c>
    </row>
    <row r="4" spans="1:12" x14ac:dyDescent="0.25">
      <c r="A4" s="4" t="str">
        <f>'2. Use Cases'!A3</f>
        <v>UC02</v>
      </c>
      <c r="B4" s="15" t="str">
        <f>VLOOKUP(DVF_Filtering[[#This Row],[ID]],'2. Use Cases'!A:B,2,FALSE)</f>
        <v>Finance</v>
      </c>
      <c r="C4" s="4">
        <f>'4. WSJF Scoring'!I4</f>
        <v>1</v>
      </c>
      <c r="D4" s="4">
        <f>'4. WSJF Scoring'!F4</f>
        <v>7</v>
      </c>
      <c r="E4" s="4">
        <f>'4. WSJF Scoring'!G4</f>
        <v>1</v>
      </c>
      <c r="F4" s="4" t="str">
        <f t="shared" ref="F4:F26" si="0">IF(D4&gt;=30,"High",IF(D4&gt;=15,"Medium","Low"))</f>
        <v>Low</v>
      </c>
      <c r="G4" s="4" t="str">
        <f t="shared" ref="G4:G26" si="1">IF(E4&gt;=13,"High",IF(E4&gt;=5,"Medium","Low"))</f>
        <v>Low</v>
      </c>
      <c r="H4" s="4" t="str">
        <f t="shared" ref="H4:H26" si="2">IF(F4="High",IF(G4="Low","Quick Win","Strategic Bet"),IF(F4="Medium","Fill-in","Avoid"))</f>
        <v>Avoid</v>
      </c>
      <c r="I4" s="4">
        <f>'5. Dependencies Schedule'!G4</f>
        <v>0</v>
      </c>
      <c r="J4" s="4" t="s">
        <v>215</v>
      </c>
      <c r="K4" s="4" t="s">
        <v>215</v>
      </c>
    </row>
    <row r="5" spans="1:12" x14ac:dyDescent="0.25">
      <c r="A5" s="4" t="str">
        <f>'2. Use Cases'!A4</f>
        <v>UC03</v>
      </c>
      <c r="B5" s="14" t="str">
        <f>VLOOKUP(DVF_Filtering[[#This Row],[ID]],'2. Use Cases'!A:B,2,FALSE)</f>
        <v>Analytics and Reporting</v>
      </c>
      <c r="C5" s="4">
        <f>'4. WSJF Scoring'!I5</f>
        <v>1</v>
      </c>
      <c r="D5" s="4">
        <f>'4. WSJF Scoring'!F5</f>
        <v>7</v>
      </c>
      <c r="E5" s="4">
        <f>'4. WSJF Scoring'!G5</f>
        <v>1</v>
      </c>
      <c r="F5" s="4" t="str">
        <f t="shared" si="0"/>
        <v>Low</v>
      </c>
      <c r="G5" s="4" t="str">
        <f t="shared" si="1"/>
        <v>Low</v>
      </c>
      <c r="H5" s="4" t="str">
        <f t="shared" si="2"/>
        <v>Avoid</v>
      </c>
      <c r="I5" s="4">
        <f>'5. Dependencies Schedule'!G5</f>
        <v>0</v>
      </c>
      <c r="J5" s="4" t="s">
        <v>215</v>
      </c>
      <c r="K5" s="4" t="s">
        <v>215</v>
      </c>
    </row>
    <row r="6" spans="1:12" x14ac:dyDescent="0.25">
      <c r="A6" s="4" t="str">
        <f>'2. Use Cases'!A5</f>
        <v>UC04</v>
      </c>
      <c r="B6" s="15" t="str">
        <f>VLOOKUP(DVF_Filtering[[#This Row],[ID]],'2. Use Cases'!A:B,2,FALSE)</f>
        <v>Credit Risk</v>
      </c>
      <c r="C6" s="4">
        <f>'4. WSJF Scoring'!I6</f>
        <v>1</v>
      </c>
      <c r="D6" s="4">
        <f>'4. WSJF Scoring'!F6</f>
        <v>7</v>
      </c>
      <c r="E6" s="4">
        <f>'4. WSJF Scoring'!G6</f>
        <v>1</v>
      </c>
      <c r="F6" s="4" t="str">
        <f t="shared" si="0"/>
        <v>Low</v>
      </c>
      <c r="G6" s="4" t="str">
        <f t="shared" si="1"/>
        <v>Low</v>
      </c>
      <c r="H6" s="4" t="str">
        <f t="shared" si="2"/>
        <v>Avoid</v>
      </c>
      <c r="I6" s="4">
        <f>'5. Dependencies Schedule'!G6</f>
        <v>0</v>
      </c>
      <c r="J6" s="4" t="s">
        <v>215</v>
      </c>
      <c r="K6" s="4" t="s">
        <v>215</v>
      </c>
    </row>
    <row r="7" spans="1:12" x14ac:dyDescent="0.25">
      <c r="A7" s="4" t="str">
        <f>'2. Use Cases'!A6</f>
        <v>UC05</v>
      </c>
      <c r="B7" s="14" t="str">
        <f>VLOOKUP(DVF_Filtering[[#This Row],[ID]],'2. Use Cases'!A:B,2,FALSE)</f>
        <v>Lending Ops</v>
      </c>
      <c r="C7" s="4">
        <f>'4. WSJF Scoring'!I7</f>
        <v>1</v>
      </c>
      <c r="D7" s="4">
        <f>'4. WSJF Scoring'!F7</f>
        <v>7</v>
      </c>
      <c r="E7" s="4">
        <f>'4. WSJF Scoring'!G7</f>
        <v>1</v>
      </c>
      <c r="F7" s="4" t="str">
        <f t="shared" si="0"/>
        <v>Low</v>
      </c>
      <c r="G7" s="4" t="str">
        <f t="shared" si="1"/>
        <v>Low</v>
      </c>
      <c r="H7" s="4" t="str">
        <f t="shared" si="2"/>
        <v>Avoid</v>
      </c>
      <c r="I7" s="4">
        <f>'5. Dependencies Schedule'!G7</f>
        <v>0</v>
      </c>
      <c r="J7" s="4" t="s">
        <v>215</v>
      </c>
      <c r="K7" s="4" t="s">
        <v>215</v>
      </c>
    </row>
    <row r="8" spans="1:12" x14ac:dyDescent="0.25">
      <c r="A8" s="4" t="str">
        <f>'2. Use Cases'!A7</f>
        <v>UC06</v>
      </c>
      <c r="B8" s="15" t="str">
        <f>VLOOKUP(DVF_Filtering[[#This Row],[ID]],'2. Use Cases'!A:B,2,FALSE)</f>
        <v>HyperPersonalization</v>
      </c>
      <c r="C8" s="4">
        <f>'4. WSJF Scoring'!I8</f>
        <v>1</v>
      </c>
      <c r="D8" s="4">
        <f>'4. WSJF Scoring'!F8</f>
        <v>7</v>
      </c>
      <c r="E8" s="4">
        <f>'4. WSJF Scoring'!G8</f>
        <v>1</v>
      </c>
      <c r="F8" s="4" t="str">
        <f t="shared" si="0"/>
        <v>Low</v>
      </c>
      <c r="G8" s="4" t="str">
        <f t="shared" si="1"/>
        <v>Low</v>
      </c>
      <c r="H8" s="4" t="str">
        <f t="shared" si="2"/>
        <v>Avoid</v>
      </c>
      <c r="I8" s="4">
        <f>'5. Dependencies Schedule'!G8</f>
        <v>0</v>
      </c>
      <c r="J8" s="4" t="s">
        <v>215</v>
      </c>
      <c r="K8" s="4" t="s">
        <v>215</v>
      </c>
    </row>
    <row r="9" spans="1:12" x14ac:dyDescent="0.25">
      <c r="A9" s="4" t="str">
        <f>'2. Use Cases'!A8</f>
        <v>UC07</v>
      </c>
      <c r="B9" s="14" t="str">
        <f>VLOOKUP(DVF_Filtering[[#This Row],[ID]],'2. Use Cases'!A:B,2,FALSE)</f>
        <v>Contact Centre</v>
      </c>
      <c r="C9" s="4">
        <f>'4. WSJF Scoring'!I9</f>
        <v>1</v>
      </c>
      <c r="D9" s="4">
        <f>'4. WSJF Scoring'!F9</f>
        <v>7</v>
      </c>
      <c r="E9" s="4">
        <f>'4. WSJF Scoring'!G9</f>
        <v>1</v>
      </c>
      <c r="F9" s="4" t="str">
        <f t="shared" si="0"/>
        <v>Low</v>
      </c>
      <c r="G9" s="4" t="str">
        <f t="shared" si="1"/>
        <v>Low</v>
      </c>
      <c r="H9" s="4" t="str">
        <f t="shared" si="2"/>
        <v>Avoid</v>
      </c>
      <c r="I9" s="4">
        <f>'5. Dependencies Schedule'!G9</f>
        <v>0</v>
      </c>
      <c r="J9" s="4" t="s">
        <v>215</v>
      </c>
      <c r="K9" s="4" t="s">
        <v>215</v>
      </c>
    </row>
    <row r="10" spans="1:12" x14ac:dyDescent="0.25">
      <c r="A10" s="4" t="str">
        <f>'2. Use Cases'!A9</f>
        <v>UC08</v>
      </c>
      <c r="B10" s="15" t="str">
        <f>VLOOKUP(DVF_Filtering[[#This Row],[ID]],'2. Use Cases'!A:B,2,FALSE)</f>
        <v>Security AI</v>
      </c>
      <c r="C10" s="4">
        <f>'4. WSJF Scoring'!I10</f>
        <v>1</v>
      </c>
      <c r="D10" s="4">
        <f>'4. WSJF Scoring'!F10</f>
        <v>7</v>
      </c>
      <c r="E10" s="4">
        <f>'4. WSJF Scoring'!G10</f>
        <v>1</v>
      </c>
      <c r="F10" s="4" t="str">
        <f t="shared" si="0"/>
        <v>Low</v>
      </c>
      <c r="G10" s="4" t="str">
        <f t="shared" si="1"/>
        <v>Low</v>
      </c>
      <c r="H10" s="4" t="str">
        <f t="shared" si="2"/>
        <v>Avoid</v>
      </c>
      <c r="I10" s="4">
        <f>'5. Dependencies Schedule'!G10</f>
        <v>0</v>
      </c>
      <c r="J10" s="4" t="s">
        <v>215</v>
      </c>
      <c r="K10" s="4" t="s">
        <v>215</v>
      </c>
    </row>
    <row r="11" spans="1:12" x14ac:dyDescent="0.25">
      <c r="A11" s="4" t="str">
        <f>'2. Use Cases'!A10</f>
        <v>UC09</v>
      </c>
      <c r="B11" s="14" t="str">
        <f>VLOOKUP(DVF_Filtering[[#This Row],[ID]],'2. Use Cases'!A:B,2,FALSE)</f>
        <v>Data Products</v>
      </c>
      <c r="C11" s="4">
        <f>'4. WSJF Scoring'!I11</f>
        <v>1</v>
      </c>
      <c r="D11" s="4">
        <f>'4. WSJF Scoring'!F11</f>
        <v>7</v>
      </c>
      <c r="E11" s="4">
        <f>'4. WSJF Scoring'!G11</f>
        <v>1</v>
      </c>
      <c r="F11" s="4" t="str">
        <f t="shared" si="0"/>
        <v>Low</v>
      </c>
      <c r="G11" s="4" t="str">
        <f t="shared" si="1"/>
        <v>Low</v>
      </c>
      <c r="H11" s="4" t="str">
        <f t="shared" si="2"/>
        <v>Avoid</v>
      </c>
      <c r="I11" s="4">
        <f>'5. Dependencies Schedule'!G11</f>
        <v>0</v>
      </c>
      <c r="J11" s="4" t="s">
        <v>215</v>
      </c>
      <c r="K11" s="4" t="s">
        <v>215</v>
      </c>
    </row>
    <row r="12" spans="1:12" x14ac:dyDescent="0.25">
      <c r="A12" s="4" t="str">
        <f>'2. Use Cases'!A11</f>
        <v>UC10</v>
      </c>
      <c r="B12" s="15" t="str">
        <f>VLOOKUP(DVF_Filtering[[#This Row],[ID]],'2. Use Cases'!A:B,2,FALSE)</f>
        <v>SDLC</v>
      </c>
      <c r="C12" s="4">
        <f>'4. WSJF Scoring'!I12</f>
        <v>1</v>
      </c>
      <c r="D12" s="4">
        <f>'4. WSJF Scoring'!F12</f>
        <v>7</v>
      </c>
      <c r="E12" s="4">
        <f>'4. WSJF Scoring'!G12</f>
        <v>1</v>
      </c>
      <c r="F12" s="4" t="str">
        <f t="shared" si="0"/>
        <v>Low</v>
      </c>
      <c r="G12" s="4" t="str">
        <f t="shared" si="1"/>
        <v>Low</v>
      </c>
      <c r="H12" s="4" t="str">
        <f t="shared" si="2"/>
        <v>Avoid</v>
      </c>
      <c r="I12" s="4">
        <f>'5. Dependencies Schedule'!G12</f>
        <v>0</v>
      </c>
      <c r="J12" s="4" t="s">
        <v>215</v>
      </c>
      <c r="K12" s="4" t="s">
        <v>215</v>
      </c>
    </row>
    <row r="13" spans="1:12" x14ac:dyDescent="0.25">
      <c r="A13" s="4" t="str">
        <f>'2. Use Cases'!A12</f>
        <v>UC11</v>
      </c>
      <c r="B13" s="14" t="str">
        <f>VLOOKUP(DVF_Filtering[[#This Row],[ID]],'2. Use Cases'!A:B,2,FALSE)</f>
        <v>Fincrime</v>
      </c>
      <c r="C13" s="4">
        <f>'4. WSJF Scoring'!I13</f>
        <v>1</v>
      </c>
      <c r="D13" s="4">
        <f>'4. WSJF Scoring'!F13</f>
        <v>7</v>
      </c>
      <c r="E13" s="4">
        <f>'4. WSJF Scoring'!G13</f>
        <v>1</v>
      </c>
      <c r="F13" s="4" t="str">
        <f t="shared" si="0"/>
        <v>Low</v>
      </c>
      <c r="G13" s="4" t="str">
        <f t="shared" si="1"/>
        <v>Low</v>
      </c>
      <c r="H13" s="4" t="str">
        <f t="shared" si="2"/>
        <v>Avoid</v>
      </c>
      <c r="I13" s="4">
        <f>'5. Dependencies Schedule'!G13</f>
        <v>0</v>
      </c>
      <c r="J13" s="4" t="s">
        <v>215</v>
      </c>
      <c r="K13" s="4" t="s">
        <v>215</v>
      </c>
    </row>
    <row r="14" spans="1:12" x14ac:dyDescent="0.25">
      <c r="A14" s="4" t="str">
        <f>'2. Use Cases'!A13</f>
        <v>UC12</v>
      </c>
      <c r="B14" s="15" t="str">
        <f>VLOOKUP(DVF_Filtering[[#This Row],[ID]],'2. Use Cases'!A:B,2,FALSE)</f>
        <v>QA/QC</v>
      </c>
      <c r="C14" s="4">
        <f>'4. WSJF Scoring'!I14</f>
        <v>1</v>
      </c>
      <c r="D14" s="4">
        <f>'4. WSJF Scoring'!F14</f>
        <v>7</v>
      </c>
      <c r="E14" s="4">
        <f>'4. WSJF Scoring'!G14</f>
        <v>1</v>
      </c>
      <c r="F14" s="4" t="str">
        <f t="shared" si="0"/>
        <v>Low</v>
      </c>
      <c r="G14" s="4" t="str">
        <f t="shared" si="1"/>
        <v>Low</v>
      </c>
      <c r="H14" s="4" t="str">
        <f t="shared" si="2"/>
        <v>Avoid</v>
      </c>
      <c r="I14" s="4">
        <f>'5. Dependencies Schedule'!G14</f>
        <v>0</v>
      </c>
      <c r="J14" s="4" t="s">
        <v>215</v>
      </c>
      <c r="K14" s="4" t="s">
        <v>215</v>
      </c>
    </row>
    <row r="15" spans="1:12" x14ac:dyDescent="0.25">
      <c r="A15" s="4" t="str">
        <f>'2. Use Cases'!A14</f>
        <v>UC13</v>
      </c>
      <c r="B15" s="14" t="str">
        <f>VLOOKUP(DVF_Filtering[[#This Row],[ID]],'2. Use Cases'!A:B,2,FALSE)</f>
        <v>Fraud Ops</v>
      </c>
      <c r="C15" s="4">
        <f>'4. WSJF Scoring'!I15</f>
        <v>1</v>
      </c>
      <c r="D15" s="4">
        <f>'4. WSJF Scoring'!F15</f>
        <v>7</v>
      </c>
      <c r="E15" s="4">
        <f>'4. WSJF Scoring'!G15</f>
        <v>1</v>
      </c>
      <c r="F15" s="4" t="str">
        <f t="shared" si="0"/>
        <v>Low</v>
      </c>
      <c r="G15" s="4" t="str">
        <f t="shared" si="1"/>
        <v>Low</v>
      </c>
      <c r="H15" s="4" t="str">
        <f t="shared" si="2"/>
        <v>Avoid</v>
      </c>
      <c r="I15" s="4">
        <f>'5. Dependencies Schedule'!G15</f>
        <v>0</v>
      </c>
      <c r="J15" s="4" t="s">
        <v>215</v>
      </c>
      <c r="K15" s="4" t="s">
        <v>215</v>
      </c>
    </row>
    <row r="16" spans="1:12" x14ac:dyDescent="0.25">
      <c r="A16" s="4" t="str">
        <f>'2. Use Cases'!A15</f>
        <v>UC14</v>
      </c>
      <c r="B16" s="15" t="str">
        <f>VLOOKUP(DVF_Filtering[[#This Row],[ID]],'2. Use Cases'!A:B,2,FALSE)</f>
        <v>Onboarding</v>
      </c>
      <c r="C16" s="4">
        <f>'4. WSJF Scoring'!I16</f>
        <v>1</v>
      </c>
      <c r="D16" s="4">
        <f>'4. WSJF Scoring'!F16</f>
        <v>7</v>
      </c>
      <c r="E16" s="4">
        <f>'4. WSJF Scoring'!G16</f>
        <v>1</v>
      </c>
      <c r="F16" s="4" t="str">
        <f t="shared" si="0"/>
        <v>Low</v>
      </c>
      <c r="G16" s="4" t="str">
        <f t="shared" si="1"/>
        <v>Low</v>
      </c>
      <c r="H16" s="4" t="str">
        <f t="shared" si="2"/>
        <v>Avoid</v>
      </c>
      <c r="I16" s="4">
        <f>'5. Dependencies Schedule'!G16</f>
        <v>0</v>
      </c>
      <c r="J16" s="4" t="s">
        <v>215</v>
      </c>
      <c r="K16" s="4" t="s">
        <v>215</v>
      </c>
    </row>
    <row r="17" spans="1:11" x14ac:dyDescent="0.25">
      <c r="A17" s="4" t="str">
        <f>'2. Use Cases'!A16</f>
        <v>UC15</v>
      </c>
      <c r="B17" s="14" t="str">
        <f>VLOOKUP(DVF_Filtering[[#This Row],[ID]],'2. Use Cases'!A:B,2,FALSE)</f>
        <v>Risk Functions</v>
      </c>
      <c r="C17" s="4">
        <f>'4. WSJF Scoring'!I17</f>
        <v>1</v>
      </c>
      <c r="D17" s="4">
        <f>'4. WSJF Scoring'!F17</f>
        <v>7</v>
      </c>
      <c r="E17" s="4">
        <f>'4. WSJF Scoring'!G17</f>
        <v>1</v>
      </c>
      <c r="F17" s="4" t="str">
        <f t="shared" si="0"/>
        <v>Low</v>
      </c>
      <c r="G17" s="4" t="str">
        <f t="shared" si="1"/>
        <v>Low</v>
      </c>
      <c r="H17" s="4" t="str">
        <f t="shared" si="2"/>
        <v>Avoid</v>
      </c>
      <c r="I17" s="4">
        <f>'5. Dependencies Schedule'!G17</f>
        <v>0</v>
      </c>
      <c r="J17" s="4" t="s">
        <v>215</v>
      </c>
      <c r="K17" s="4" t="s">
        <v>215</v>
      </c>
    </row>
    <row r="18" spans="1:11" x14ac:dyDescent="0.25">
      <c r="A18" s="4" t="str">
        <f>'2. Use Cases'!A17</f>
        <v>UC16</v>
      </c>
      <c r="B18" s="15" t="str">
        <f>VLOOKUP(DVF_Filtering[[#This Row],[ID]],'2. Use Cases'!A:B,2,FALSE)</f>
        <v>IT Ops</v>
      </c>
      <c r="C18" s="4">
        <f>'4. WSJF Scoring'!I18</f>
        <v>1</v>
      </c>
      <c r="D18" s="4">
        <f>'4. WSJF Scoring'!F18</f>
        <v>7</v>
      </c>
      <c r="E18" s="4">
        <f>'4. WSJF Scoring'!G18</f>
        <v>1</v>
      </c>
      <c r="F18" s="4" t="str">
        <f t="shared" si="0"/>
        <v>Low</v>
      </c>
      <c r="G18" s="4" t="str">
        <f t="shared" si="1"/>
        <v>Low</v>
      </c>
      <c r="H18" s="4" t="str">
        <f t="shared" si="2"/>
        <v>Avoid</v>
      </c>
      <c r="I18" s="4">
        <f>'5. Dependencies Schedule'!G18</f>
        <v>0</v>
      </c>
      <c r="J18" s="4" t="s">
        <v>215</v>
      </c>
      <c r="K18" s="4" t="s">
        <v>215</v>
      </c>
    </row>
    <row r="19" spans="1:11" x14ac:dyDescent="0.25">
      <c r="A19" s="4" t="str">
        <f>'2. Use Cases'!A18</f>
        <v>UC17</v>
      </c>
      <c r="B19" s="14" t="str">
        <f>VLOOKUP(DVF_Filtering[[#This Row],[ID]],'2. Use Cases'!A:B,2,FALSE)</f>
        <v>FrontLine - CIB</v>
      </c>
      <c r="C19" s="4">
        <f>'4. WSJF Scoring'!I19</f>
        <v>1</v>
      </c>
      <c r="D19" s="4">
        <f>'4. WSJF Scoring'!F19</f>
        <v>7</v>
      </c>
      <c r="E19" s="4">
        <f>'4. WSJF Scoring'!G19</f>
        <v>1</v>
      </c>
      <c r="F19" s="4" t="str">
        <f t="shared" si="0"/>
        <v>Low</v>
      </c>
      <c r="G19" s="4" t="str">
        <f t="shared" si="1"/>
        <v>Low</v>
      </c>
      <c r="H19" s="4" t="str">
        <f t="shared" si="2"/>
        <v>Avoid</v>
      </c>
      <c r="I19" s="4">
        <f>'5. Dependencies Schedule'!G19</f>
        <v>0</v>
      </c>
      <c r="J19" s="4" t="s">
        <v>215</v>
      </c>
      <c r="K19" s="4" t="s">
        <v>215</v>
      </c>
    </row>
    <row r="20" spans="1:11" x14ac:dyDescent="0.25">
      <c r="A20" s="4" t="str">
        <f>'2. Use Cases'!A19</f>
        <v>UC18</v>
      </c>
      <c r="B20" s="15" t="str">
        <f>VLOOKUP(DVF_Filtering[[#This Row],[ID]],'2. Use Cases'!A:B,2,FALSE)</f>
        <v>Procurement</v>
      </c>
      <c r="C20" s="4">
        <f>'4. WSJF Scoring'!I20</f>
        <v>1</v>
      </c>
      <c r="D20" s="4">
        <f>'4. WSJF Scoring'!F20</f>
        <v>7</v>
      </c>
      <c r="E20" s="4">
        <f>'4. WSJF Scoring'!G20</f>
        <v>1</v>
      </c>
      <c r="F20" s="4" t="str">
        <f t="shared" si="0"/>
        <v>Low</v>
      </c>
      <c r="G20" s="4" t="str">
        <f t="shared" si="1"/>
        <v>Low</v>
      </c>
      <c r="H20" s="4" t="str">
        <f t="shared" si="2"/>
        <v>Avoid</v>
      </c>
      <c r="I20" s="4">
        <f>'5. Dependencies Schedule'!G20</f>
        <v>0</v>
      </c>
      <c r="J20" s="4" t="s">
        <v>215</v>
      </c>
      <c r="K20" s="4" t="s">
        <v>215</v>
      </c>
    </row>
    <row r="21" spans="1:11" x14ac:dyDescent="0.25">
      <c r="A21" s="4" t="str">
        <f>'2. Use Cases'!A20</f>
        <v>UC19</v>
      </c>
      <c r="B21" s="14" t="str">
        <f>VLOOKUP(DVF_Filtering[[#This Row],[ID]],'2. Use Cases'!A:B,2,FALSE)</f>
        <v>Payment Disputes</v>
      </c>
      <c r="C21" s="4">
        <f>'4. WSJF Scoring'!I21</f>
        <v>1</v>
      </c>
      <c r="D21" s="4">
        <f>'4. WSJF Scoring'!F21</f>
        <v>7</v>
      </c>
      <c r="E21" s="4">
        <f>'4. WSJF Scoring'!G21</f>
        <v>1</v>
      </c>
      <c r="F21" s="4" t="str">
        <f t="shared" si="0"/>
        <v>Low</v>
      </c>
      <c r="G21" s="4" t="str">
        <f t="shared" si="1"/>
        <v>Low</v>
      </c>
      <c r="H21" s="4" t="str">
        <f t="shared" si="2"/>
        <v>Avoid</v>
      </c>
      <c r="I21" s="4">
        <f>'5. Dependencies Schedule'!G21</f>
        <v>0</v>
      </c>
      <c r="J21" s="4" t="s">
        <v>215</v>
      </c>
      <c r="K21" s="4" t="s">
        <v>215</v>
      </c>
    </row>
    <row r="22" spans="1:11" x14ac:dyDescent="0.25">
      <c r="A22" s="4" t="str">
        <f>'2. Use Cases'!A21</f>
        <v>UC20</v>
      </c>
      <c r="B22" s="15" t="str">
        <f>VLOOKUP(DVF_Filtering[[#This Row],[ID]],'2. Use Cases'!A:B,2,FALSE)</f>
        <v>Controls Testing</v>
      </c>
      <c r="C22" s="4">
        <f>'4. WSJF Scoring'!I22</f>
        <v>1</v>
      </c>
      <c r="D22" s="4">
        <f>'4. WSJF Scoring'!F22</f>
        <v>7</v>
      </c>
      <c r="E22" s="4">
        <f>'4. WSJF Scoring'!G22</f>
        <v>1</v>
      </c>
      <c r="F22" s="4" t="str">
        <f t="shared" si="0"/>
        <v>Low</v>
      </c>
      <c r="G22" s="4" t="str">
        <f t="shared" si="1"/>
        <v>Low</v>
      </c>
      <c r="H22" s="4" t="str">
        <f t="shared" si="2"/>
        <v>Avoid</v>
      </c>
      <c r="I22" s="4">
        <f>'5. Dependencies Schedule'!G22</f>
        <v>0</v>
      </c>
      <c r="J22" s="4" t="s">
        <v>215</v>
      </c>
      <c r="K22" s="4" t="s">
        <v>215</v>
      </c>
    </row>
    <row r="23" spans="1:11" x14ac:dyDescent="0.25">
      <c r="A23" s="4" t="str">
        <f>'2. Use Cases'!A22</f>
        <v>UC21</v>
      </c>
      <c r="B23" s="14" t="str">
        <f>VLOOKUP(DVF_Filtering[[#This Row],[ID]],'2. Use Cases'!A:B,2,FALSE)</f>
        <v>Wholesale Underwriting</v>
      </c>
      <c r="C23" s="4">
        <f>'4. WSJF Scoring'!I23</f>
        <v>1</v>
      </c>
      <c r="D23" s="4">
        <f>'4. WSJF Scoring'!F23</f>
        <v>7</v>
      </c>
      <c r="E23" s="4">
        <f>'4. WSJF Scoring'!G23</f>
        <v>1</v>
      </c>
      <c r="F23" s="4" t="str">
        <f t="shared" si="0"/>
        <v>Low</v>
      </c>
      <c r="G23" s="4" t="str">
        <f t="shared" si="1"/>
        <v>Low</v>
      </c>
      <c r="H23" s="4" t="str">
        <f t="shared" si="2"/>
        <v>Avoid</v>
      </c>
      <c r="I23" s="4">
        <f>'5. Dependencies Schedule'!G23</f>
        <v>0</v>
      </c>
      <c r="J23" s="4" t="s">
        <v>215</v>
      </c>
      <c r="K23" s="4" t="s">
        <v>215</v>
      </c>
    </row>
    <row r="24" spans="1:11" x14ac:dyDescent="0.25">
      <c r="A24" s="4" t="str">
        <f>'2. Use Cases'!A23</f>
        <v>UC22</v>
      </c>
      <c r="B24" s="15" t="str">
        <f>VLOOKUP(DVF_Filtering[[#This Row],[ID]],'2. Use Cases'!A:B,2,FALSE)</f>
        <v>Learning Content</v>
      </c>
      <c r="C24" s="4">
        <f>'4. WSJF Scoring'!I24</f>
        <v>1</v>
      </c>
      <c r="D24" s="4">
        <f>'4. WSJF Scoring'!F24</f>
        <v>7</v>
      </c>
      <c r="E24" s="4">
        <f>'4. WSJF Scoring'!G24</f>
        <v>1</v>
      </c>
      <c r="F24" s="4" t="str">
        <f t="shared" si="0"/>
        <v>Low</v>
      </c>
      <c r="G24" s="4" t="str">
        <f t="shared" si="1"/>
        <v>Low</v>
      </c>
      <c r="H24" s="4" t="str">
        <f t="shared" si="2"/>
        <v>Avoid</v>
      </c>
      <c r="I24" s="4">
        <f>'5. Dependencies Schedule'!G24</f>
        <v>0</v>
      </c>
      <c r="J24" s="4" t="s">
        <v>215</v>
      </c>
      <c r="K24" s="4" t="s">
        <v>215</v>
      </c>
    </row>
    <row r="25" spans="1:11" x14ac:dyDescent="0.25">
      <c r="A25" s="4" t="str">
        <f>'2. Use Cases'!A24</f>
        <v>UC23</v>
      </c>
      <c r="B25" s="14" t="str">
        <f>VLOOKUP(DVF_Filtering[[#This Row],[ID]],'2. Use Cases'!A:B,2,FALSE)</f>
        <v>Collection Management</v>
      </c>
      <c r="C25" s="4">
        <f>'4. WSJF Scoring'!I25</f>
        <v>1</v>
      </c>
      <c r="D25" s="4">
        <f>'4. WSJF Scoring'!F25</f>
        <v>7</v>
      </c>
      <c r="E25" s="4">
        <f>'4. WSJF Scoring'!G25</f>
        <v>1</v>
      </c>
      <c r="F25" s="4" t="str">
        <f t="shared" si="0"/>
        <v>Low</v>
      </c>
      <c r="G25" s="4" t="str">
        <f t="shared" si="1"/>
        <v>Low</v>
      </c>
      <c r="H25" s="4" t="str">
        <f t="shared" si="2"/>
        <v>Avoid</v>
      </c>
      <c r="I25" s="4">
        <f>'5. Dependencies Schedule'!G25</f>
        <v>0</v>
      </c>
      <c r="J25" s="4" t="s">
        <v>215</v>
      </c>
      <c r="K25" s="4" t="s">
        <v>215</v>
      </c>
    </row>
    <row r="26" spans="1:11" x14ac:dyDescent="0.25">
      <c r="A26" s="4" t="str">
        <f>'2. Use Cases'!A25</f>
        <v>UC24</v>
      </c>
      <c r="B26" s="15" t="str">
        <f>VLOOKUP(DVF_Filtering[[#This Row],[ID]],'2. Use Cases'!A:B,2,FALSE)</f>
        <v>Front-end App Personalisation</v>
      </c>
      <c r="C26" s="4">
        <f>'4. WSJF Scoring'!I26</f>
        <v>1</v>
      </c>
      <c r="D26" s="4">
        <f>'4. WSJF Scoring'!F26</f>
        <v>7</v>
      </c>
      <c r="E26" s="4">
        <f>'4. WSJF Scoring'!G26</f>
        <v>1</v>
      </c>
      <c r="F26" s="4" t="str">
        <f t="shared" si="0"/>
        <v>Low</v>
      </c>
      <c r="G26" s="4" t="str">
        <f t="shared" si="1"/>
        <v>Low</v>
      </c>
      <c r="H26" s="4" t="str">
        <f t="shared" si="2"/>
        <v>Avoid</v>
      </c>
      <c r="I26" s="4">
        <f>'5. Dependencies Schedule'!G26</f>
        <v>0</v>
      </c>
      <c r="J26" s="4" t="s">
        <v>215</v>
      </c>
      <c r="K26" s="4" t="s">
        <v>215</v>
      </c>
    </row>
  </sheetData>
  <mergeCells count="1">
    <mergeCell ref="A1:L1"/>
  </mergeCells>
  <conditionalFormatting sqref="H2:H26">
    <cfRule type="cellIs" dxfId="11" priority="1" operator="equal">
      <formula>"Quick Win"</formula>
    </cfRule>
    <cfRule type="cellIs" dxfId="10" priority="2" operator="equal">
      <formula>"Strategic Bet"</formula>
    </cfRule>
    <cfRule type="cellIs" dxfId="9" priority="3" operator="equal">
      <formula>"Fill-in"</formula>
    </cfRule>
    <cfRule type="cellIs" dxfId="8" priority="4" operator="equal">
      <formula>"Avoid"</formula>
    </cfRule>
  </conditionalFormatting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87EBA-361D-4DAD-B285-B07E8E341E17}">
  <dimension ref="A1:E25"/>
  <sheetViews>
    <sheetView showGridLines="0" workbookViewId="0">
      <selection activeCell="C5" sqref="C5"/>
    </sheetView>
  </sheetViews>
  <sheetFormatPr defaultRowHeight="15" x14ac:dyDescent="0.25"/>
  <cols>
    <col min="1" max="1" width="9.140625" style="8"/>
    <col min="2" max="2" width="33.7109375" style="8" customWidth="1"/>
    <col min="3" max="3" width="31.5703125" style="8" customWidth="1"/>
    <col min="4" max="4" width="22.42578125" style="8" customWidth="1"/>
    <col min="5" max="5" width="19.85546875" style="8" customWidth="1"/>
  </cols>
  <sheetData>
    <row r="1" spans="1:5" x14ac:dyDescent="0.25">
      <c r="A1" s="37" t="s">
        <v>0</v>
      </c>
      <c r="B1" s="37" t="s">
        <v>1</v>
      </c>
      <c r="C1" s="38" t="s">
        <v>5</v>
      </c>
      <c r="D1" s="39" t="s">
        <v>3</v>
      </c>
      <c r="E1" s="39" t="s">
        <v>4</v>
      </c>
    </row>
    <row r="2" spans="1:5" ht="25.5" x14ac:dyDescent="0.25">
      <c r="A2" s="9" t="s">
        <v>186</v>
      </c>
      <c r="B2" s="36" t="str">
        <f>VLOOKUP(A2,'2. Use Cases'!A:B,2,FALSE)</f>
        <v>FrontLine - Partnership Banking</v>
      </c>
      <c r="C2" s="33" t="s">
        <v>9</v>
      </c>
      <c r="D2" s="8" t="s">
        <v>7</v>
      </c>
      <c r="E2" s="8" t="s">
        <v>8</v>
      </c>
    </row>
    <row r="3" spans="1:5" x14ac:dyDescent="0.25">
      <c r="A3" s="9" t="s">
        <v>187</v>
      </c>
      <c r="B3" s="36" t="str">
        <f>VLOOKUP(A3,'2. Use Cases'!A:B,2,FALSE)</f>
        <v>Finance</v>
      </c>
      <c r="C3" s="33" t="s">
        <v>13</v>
      </c>
      <c r="D3" s="8" t="s">
        <v>11</v>
      </c>
      <c r="E3" s="8" t="s">
        <v>12</v>
      </c>
    </row>
    <row r="4" spans="1:5" x14ac:dyDescent="0.25">
      <c r="A4" s="9" t="s">
        <v>188</v>
      </c>
      <c r="B4" s="36" t="str">
        <f>VLOOKUP(A4,'2. Use Cases'!A:B,2,FALSE)</f>
        <v>Analytics and Reporting</v>
      </c>
      <c r="C4" s="33" t="s">
        <v>13</v>
      </c>
      <c r="D4" s="8" t="s">
        <v>15</v>
      </c>
      <c r="E4" s="8" t="s">
        <v>16</v>
      </c>
    </row>
    <row r="5" spans="1:5" x14ac:dyDescent="0.25">
      <c r="A5" s="9" t="s">
        <v>189</v>
      </c>
      <c r="B5" s="36" t="str">
        <f>VLOOKUP(A5,'2. Use Cases'!A:B,2,FALSE)</f>
        <v>Credit Risk</v>
      </c>
      <c r="C5" s="33" t="s">
        <v>20</v>
      </c>
      <c r="D5" s="8" t="s">
        <v>18</v>
      </c>
      <c r="E5" s="8" t="s">
        <v>19</v>
      </c>
    </row>
    <row r="6" spans="1:5" ht="25.5" x14ac:dyDescent="0.25">
      <c r="A6" s="9" t="s">
        <v>190</v>
      </c>
      <c r="B6" s="36" t="str">
        <f>VLOOKUP(A6,'2. Use Cases'!A:B,2,FALSE)</f>
        <v>Lending Ops</v>
      </c>
      <c r="C6" s="33" t="s">
        <v>23</v>
      </c>
      <c r="D6" s="8" t="s">
        <v>22</v>
      </c>
      <c r="E6" s="8" t="s">
        <v>12</v>
      </c>
    </row>
    <row r="7" spans="1:5" ht="25.5" x14ac:dyDescent="0.25">
      <c r="A7" s="9" t="s">
        <v>191</v>
      </c>
      <c r="B7" s="36" t="str">
        <f>VLOOKUP(A7,'2. Use Cases'!A:B,2,FALSE)</f>
        <v>HyperPersonalization</v>
      </c>
      <c r="C7" s="33" t="s">
        <v>13</v>
      </c>
      <c r="D7" s="8" t="s">
        <v>25</v>
      </c>
      <c r="E7" s="8" t="s">
        <v>8</v>
      </c>
    </row>
    <row r="8" spans="1:5" ht="25.5" x14ac:dyDescent="0.25">
      <c r="A8" s="9" t="s">
        <v>192</v>
      </c>
      <c r="B8" s="36" t="str">
        <f>VLOOKUP(A8,'2. Use Cases'!A:B,2,FALSE)</f>
        <v>Contact Centre</v>
      </c>
      <c r="C8" s="33" t="s">
        <v>9</v>
      </c>
      <c r="D8" s="8" t="s">
        <v>27</v>
      </c>
      <c r="E8" s="8" t="s">
        <v>8</v>
      </c>
    </row>
    <row r="9" spans="1:5" ht="25.5" x14ac:dyDescent="0.25">
      <c r="A9" s="9" t="s">
        <v>193</v>
      </c>
      <c r="B9" s="36" t="str">
        <f>VLOOKUP(A9,'2. Use Cases'!A:B,2,FALSE)</f>
        <v>Security AI</v>
      </c>
      <c r="C9" s="33" t="s">
        <v>20</v>
      </c>
      <c r="D9" s="8" t="s">
        <v>29</v>
      </c>
      <c r="E9" s="8" t="s">
        <v>19</v>
      </c>
    </row>
    <row r="10" spans="1:5" x14ac:dyDescent="0.25">
      <c r="A10" s="9" t="s">
        <v>194</v>
      </c>
      <c r="B10" s="36" t="str">
        <f>VLOOKUP(A10,'2. Use Cases'!A:B,2,FALSE)</f>
        <v>Data Products</v>
      </c>
      <c r="C10" s="33" t="s">
        <v>13</v>
      </c>
      <c r="D10" s="8" t="s">
        <v>15</v>
      </c>
      <c r="E10" s="8" t="s">
        <v>16</v>
      </c>
    </row>
    <row r="11" spans="1:5" ht="25.5" x14ac:dyDescent="0.25">
      <c r="A11" s="9" t="s">
        <v>195</v>
      </c>
      <c r="B11" s="36" t="str">
        <f>VLOOKUP(A11,'2. Use Cases'!A:B,2,FALSE)</f>
        <v>SDLC</v>
      </c>
      <c r="C11" s="33" t="s">
        <v>33</v>
      </c>
      <c r="D11" s="8" t="s">
        <v>32</v>
      </c>
      <c r="E11" s="8" t="s">
        <v>12</v>
      </c>
    </row>
    <row r="12" spans="1:5" ht="25.5" x14ac:dyDescent="0.25">
      <c r="A12" s="9" t="s">
        <v>196</v>
      </c>
      <c r="B12" s="36" t="str">
        <f>VLOOKUP(A12,'2. Use Cases'!A:B,2,FALSE)</f>
        <v>Fincrime</v>
      </c>
      <c r="C12" s="33" t="s">
        <v>20</v>
      </c>
      <c r="D12" s="8" t="s">
        <v>35</v>
      </c>
      <c r="E12" s="8" t="s">
        <v>19</v>
      </c>
    </row>
    <row r="13" spans="1:5" ht="25.5" x14ac:dyDescent="0.25">
      <c r="A13" s="9" t="s">
        <v>197</v>
      </c>
      <c r="B13" s="36" t="str">
        <f>VLOOKUP(A13,'2. Use Cases'!A:B,2,FALSE)</f>
        <v>QA/QC</v>
      </c>
      <c r="C13" s="33" t="s">
        <v>20</v>
      </c>
      <c r="D13" s="8" t="s">
        <v>37</v>
      </c>
      <c r="E13" s="8" t="s">
        <v>12</v>
      </c>
    </row>
    <row r="14" spans="1:5" ht="25.5" x14ac:dyDescent="0.25">
      <c r="A14" s="9" t="s">
        <v>198</v>
      </c>
      <c r="B14" s="36" t="str">
        <f>VLOOKUP(A14,'2. Use Cases'!A:B,2,FALSE)</f>
        <v>Fraud Ops</v>
      </c>
      <c r="C14" s="33" t="s">
        <v>20</v>
      </c>
      <c r="D14" s="8" t="s">
        <v>39</v>
      </c>
      <c r="E14" s="8" t="s">
        <v>19</v>
      </c>
    </row>
    <row r="15" spans="1:5" ht="25.5" x14ac:dyDescent="0.25">
      <c r="A15" s="9" t="s">
        <v>199</v>
      </c>
      <c r="B15" s="36" t="str">
        <f>VLOOKUP(A15,'2. Use Cases'!A:B,2,FALSE)</f>
        <v>Onboarding</v>
      </c>
      <c r="C15" s="33" t="s">
        <v>23</v>
      </c>
      <c r="D15" s="8" t="s">
        <v>41</v>
      </c>
      <c r="E15" s="8" t="s">
        <v>8</v>
      </c>
    </row>
    <row r="16" spans="1:5" x14ac:dyDescent="0.25">
      <c r="A16" s="9" t="s">
        <v>200</v>
      </c>
      <c r="B16" s="36" t="str">
        <f>VLOOKUP(A16,'2. Use Cases'!A:B,2,FALSE)</f>
        <v>Risk Functions</v>
      </c>
      <c r="C16" s="33" t="s">
        <v>20</v>
      </c>
      <c r="D16" s="8" t="s">
        <v>18</v>
      </c>
      <c r="E16" s="8" t="s">
        <v>19</v>
      </c>
    </row>
    <row r="17" spans="1:5" ht="25.5" x14ac:dyDescent="0.25">
      <c r="A17" s="9" t="s">
        <v>201</v>
      </c>
      <c r="B17" s="36" t="str">
        <f>VLOOKUP(A17,'2. Use Cases'!A:B,2,FALSE)</f>
        <v>IT Ops</v>
      </c>
      <c r="C17" s="33" t="s">
        <v>45</v>
      </c>
      <c r="D17" s="8" t="s">
        <v>44</v>
      </c>
      <c r="E17" s="8" t="s">
        <v>12</v>
      </c>
    </row>
    <row r="18" spans="1:5" ht="25.5" x14ac:dyDescent="0.25">
      <c r="A18" s="9" t="s">
        <v>202</v>
      </c>
      <c r="B18" s="36" t="str">
        <f>VLOOKUP(A18,'2. Use Cases'!A:B,2,FALSE)</f>
        <v>FrontLine - CIB</v>
      </c>
      <c r="C18" s="33" t="s">
        <v>13</v>
      </c>
      <c r="D18" s="8" t="s">
        <v>7</v>
      </c>
      <c r="E18" s="8" t="s">
        <v>8</v>
      </c>
    </row>
    <row r="19" spans="1:5" ht="25.5" x14ac:dyDescent="0.25">
      <c r="A19" s="9" t="s">
        <v>203</v>
      </c>
      <c r="B19" s="36" t="str">
        <f>VLOOKUP(A19,'2. Use Cases'!A:B,2,FALSE)</f>
        <v>Procurement</v>
      </c>
      <c r="C19" s="33" t="s">
        <v>49</v>
      </c>
      <c r="D19" s="8" t="s">
        <v>48</v>
      </c>
      <c r="E19" s="8" t="s">
        <v>12</v>
      </c>
    </row>
    <row r="20" spans="1:5" ht="25.5" x14ac:dyDescent="0.25">
      <c r="A20" s="9" t="s">
        <v>204</v>
      </c>
      <c r="B20" s="36" t="str">
        <f>VLOOKUP(A20,'2. Use Cases'!A:B,2,FALSE)</f>
        <v>Payment Disputes</v>
      </c>
      <c r="C20" s="33" t="s">
        <v>20</v>
      </c>
      <c r="D20" s="8" t="s">
        <v>51</v>
      </c>
      <c r="E20" s="8" t="s">
        <v>8</v>
      </c>
    </row>
    <row r="21" spans="1:5" x14ac:dyDescent="0.25">
      <c r="A21" s="9" t="s">
        <v>205</v>
      </c>
      <c r="B21" s="36" t="str">
        <f>VLOOKUP(A21,'2. Use Cases'!A:B,2,FALSE)</f>
        <v>Controls Testing</v>
      </c>
      <c r="C21" s="33" t="s">
        <v>20</v>
      </c>
      <c r="D21" s="8" t="s">
        <v>53</v>
      </c>
      <c r="E21" s="8" t="s">
        <v>19</v>
      </c>
    </row>
    <row r="22" spans="1:5" ht="25.5" x14ac:dyDescent="0.25">
      <c r="A22" s="9" t="s">
        <v>206</v>
      </c>
      <c r="B22" s="36" t="str">
        <f>VLOOKUP(A22,'2. Use Cases'!A:B,2,FALSE)</f>
        <v>Wholesale Underwriting</v>
      </c>
      <c r="C22" s="33" t="s">
        <v>20</v>
      </c>
      <c r="D22" s="8" t="s">
        <v>22</v>
      </c>
      <c r="E22" s="8" t="s">
        <v>12</v>
      </c>
    </row>
    <row r="23" spans="1:5" x14ac:dyDescent="0.25">
      <c r="A23" s="9" t="s">
        <v>207</v>
      </c>
      <c r="B23" s="36" t="str">
        <f>VLOOKUP(A23,'2. Use Cases'!A:B,2,FALSE)</f>
        <v>Learning Content</v>
      </c>
      <c r="C23" s="33" t="s">
        <v>13</v>
      </c>
      <c r="D23" s="8" t="s">
        <v>56</v>
      </c>
      <c r="E23" s="8" t="s">
        <v>12</v>
      </c>
    </row>
    <row r="24" spans="1:5" x14ac:dyDescent="0.25">
      <c r="A24" s="9" t="s">
        <v>208</v>
      </c>
      <c r="B24" s="36" t="str">
        <f>VLOOKUP(A24,'2. Use Cases'!A:B,2,FALSE)</f>
        <v>Collection Management</v>
      </c>
      <c r="C24" s="33" t="s">
        <v>20</v>
      </c>
      <c r="D24" s="8" t="s">
        <v>58</v>
      </c>
      <c r="E24" s="8" t="s">
        <v>12</v>
      </c>
    </row>
    <row r="25" spans="1:5" ht="25.5" x14ac:dyDescent="0.25">
      <c r="A25" s="9" t="s">
        <v>209</v>
      </c>
      <c r="B25" s="36" t="str">
        <f>VLOOKUP(A25,'2. Use Cases'!A:B,2,FALSE)</f>
        <v>Front-end App Personalisation</v>
      </c>
      <c r="C25" s="34" t="s">
        <v>13</v>
      </c>
      <c r="D25" s="8" t="s">
        <v>25</v>
      </c>
      <c r="E25" s="8" t="s">
        <v>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60"/>
  <sheetViews>
    <sheetView topLeftCell="A4" workbookViewId="0">
      <selection activeCell="A56" sqref="A56"/>
    </sheetView>
  </sheetViews>
  <sheetFormatPr defaultRowHeight="15" x14ac:dyDescent="0.25"/>
  <cols>
    <col min="1" max="2" width="25" style="27" customWidth="1"/>
    <col min="3" max="3" width="10" style="35" customWidth="1"/>
    <col min="4" max="4" width="50" style="27" customWidth="1"/>
    <col min="5" max="5" width="40" style="27" customWidth="1"/>
    <col min="6" max="6" width="30" style="27" customWidth="1"/>
    <col min="7" max="8" width="9.140625" style="27"/>
  </cols>
  <sheetData>
    <row r="1" spans="1:9" ht="18.75" x14ac:dyDescent="0.25">
      <c r="A1" s="29" t="s">
        <v>218</v>
      </c>
      <c r="B1" s="29"/>
    </row>
    <row r="2" spans="1:9" x14ac:dyDescent="0.25">
      <c r="A2" s="28"/>
      <c r="B2" s="28"/>
      <c r="C2" s="28"/>
      <c r="D2" s="28"/>
      <c r="E2" s="28"/>
    </row>
    <row r="3" spans="1:9" x14ac:dyDescent="0.25">
      <c r="A3" s="27" t="s">
        <v>220</v>
      </c>
      <c r="B3" s="27" t="s">
        <v>270</v>
      </c>
      <c r="C3" s="35" t="s">
        <v>83</v>
      </c>
      <c r="D3" s="27" t="s">
        <v>84</v>
      </c>
      <c r="E3" s="27" t="s">
        <v>85</v>
      </c>
      <c r="I3" s="27"/>
    </row>
    <row r="5" spans="1:9" ht="30" x14ac:dyDescent="0.25">
      <c r="A5" s="27" t="s">
        <v>210</v>
      </c>
      <c r="B5" s="27" t="s">
        <v>276</v>
      </c>
      <c r="C5" s="35" t="s">
        <v>86</v>
      </c>
      <c r="D5" s="27" t="s">
        <v>87</v>
      </c>
      <c r="E5" s="27" t="s">
        <v>88</v>
      </c>
    </row>
    <row r="6" spans="1:9" ht="30" x14ac:dyDescent="0.25">
      <c r="B6" s="27" t="s">
        <v>277</v>
      </c>
      <c r="C6" s="35" t="s">
        <v>89</v>
      </c>
      <c r="D6" s="27" t="s">
        <v>90</v>
      </c>
      <c r="E6" s="27" t="s">
        <v>91</v>
      </c>
    </row>
    <row r="7" spans="1:9" x14ac:dyDescent="0.25">
      <c r="B7" s="27" t="s">
        <v>275</v>
      </c>
      <c r="C7" s="35" t="s">
        <v>92</v>
      </c>
      <c r="D7" s="27" t="s">
        <v>93</v>
      </c>
      <c r="E7" s="27" t="s">
        <v>94</v>
      </c>
    </row>
    <row r="8" spans="1:9" x14ac:dyDescent="0.25">
      <c r="B8" s="27" t="s">
        <v>274</v>
      </c>
      <c r="C8" s="35" t="s">
        <v>95</v>
      </c>
      <c r="D8" s="27" t="s">
        <v>96</v>
      </c>
      <c r="E8" s="27" t="s">
        <v>97</v>
      </c>
    </row>
    <row r="9" spans="1:9" x14ac:dyDescent="0.25">
      <c r="B9" s="27" t="s">
        <v>273</v>
      </c>
      <c r="C9" s="35" t="s">
        <v>98</v>
      </c>
      <c r="D9" s="27" t="s">
        <v>99</v>
      </c>
      <c r="E9" s="27" t="s">
        <v>100</v>
      </c>
    </row>
    <row r="10" spans="1:9" x14ac:dyDescent="0.25">
      <c r="B10" s="27" t="s">
        <v>272</v>
      </c>
      <c r="C10" s="35" t="s">
        <v>101</v>
      </c>
      <c r="D10" s="27" t="s">
        <v>102</v>
      </c>
      <c r="E10" s="27" t="s">
        <v>103</v>
      </c>
    </row>
    <row r="11" spans="1:9" x14ac:dyDescent="0.25">
      <c r="B11" s="27" t="s">
        <v>271</v>
      </c>
      <c r="C11" s="35" t="s">
        <v>104</v>
      </c>
      <c r="D11" s="27" t="s">
        <v>105</v>
      </c>
      <c r="E11" s="27" t="s">
        <v>106</v>
      </c>
    </row>
    <row r="13" spans="1:9" ht="30" x14ac:dyDescent="0.25">
      <c r="A13" s="27" t="s">
        <v>67</v>
      </c>
      <c r="B13" s="27" t="s">
        <v>279</v>
      </c>
      <c r="C13" s="35" t="s">
        <v>86</v>
      </c>
      <c r="D13" s="27" t="s">
        <v>107</v>
      </c>
      <c r="E13" s="27" t="s">
        <v>108</v>
      </c>
    </row>
    <row r="14" spans="1:9" ht="30" x14ac:dyDescent="0.25">
      <c r="B14" s="27" t="s">
        <v>281</v>
      </c>
      <c r="C14" s="35" t="s">
        <v>89</v>
      </c>
      <c r="D14" s="27" t="s">
        <v>109</v>
      </c>
      <c r="E14" s="27" t="s">
        <v>110</v>
      </c>
    </row>
    <row r="15" spans="1:9" ht="30" x14ac:dyDescent="0.25">
      <c r="B15" s="27" t="s">
        <v>280</v>
      </c>
      <c r="C15" s="35" t="s">
        <v>92</v>
      </c>
      <c r="D15" s="27" t="s">
        <v>111</v>
      </c>
      <c r="E15" s="27" t="s">
        <v>112</v>
      </c>
    </row>
    <row r="16" spans="1:9" x14ac:dyDescent="0.25">
      <c r="B16" s="27" t="s">
        <v>282</v>
      </c>
      <c r="C16" s="35" t="s">
        <v>95</v>
      </c>
      <c r="D16" s="27" t="s">
        <v>113</v>
      </c>
      <c r="E16" s="27" t="s">
        <v>114</v>
      </c>
    </row>
    <row r="17" spans="1:5" x14ac:dyDescent="0.25">
      <c r="B17" s="27" t="s">
        <v>283</v>
      </c>
      <c r="C17" s="35" t="s">
        <v>98</v>
      </c>
      <c r="D17" s="27" t="s">
        <v>115</v>
      </c>
      <c r="E17" s="27" t="s">
        <v>116</v>
      </c>
    </row>
    <row r="18" spans="1:5" x14ac:dyDescent="0.25">
      <c r="B18" s="27" t="s">
        <v>272</v>
      </c>
      <c r="C18" s="35" t="s">
        <v>101</v>
      </c>
      <c r="D18" s="27" t="s">
        <v>117</v>
      </c>
      <c r="E18" s="27" t="s">
        <v>118</v>
      </c>
    </row>
    <row r="19" spans="1:5" x14ac:dyDescent="0.25">
      <c r="B19" s="27" t="s">
        <v>271</v>
      </c>
      <c r="C19" s="35" t="s">
        <v>104</v>
      </c>
      <c r="D19" s="27" t="s">
        <v>119</v>
      </c>
      <c r="E19" s="27" t="s">
        <v>120</v>
      </c>
    </row>
    <row r="21" spans="1:5" ht="30" x14ac:dyDescent="0.25">
      <c r="A21" s="27" t="s">
        <v>217</v>
      </c>
      <c r="B21" s="27" t="s">
        <v>276</v>
      </c>
      <c r="C21" s="35" t="s">
        <v>86</v>
      </c>
      <c r="D21" s="27" t="s">
        <v>121</v>
      </c>
      <c r="E21" s="27" t="s">
        <v>122</v>
      </c>
    </row>
    <row r="22" spans="1:5" ht="30" x14ac:dyDescent="0.25">
      <c r="B22" s="27" t="s">
        <v>277</v>
      </c>
      <c r="C22" s="35" t="s">
        <v>89</v>
      </c>
      <c r="D22" s="27" t="s">
        <v>123</v>
      </c>
      <c r="E22" s="27" t="s">
        <v>124</v>
      </c>
    </row>
    <row r="23" spans="1:5" x14ac:dyDescent="0.25">
      <c r="B23" s="27" t="s">
        <v>275</v>
      </c>
      <c r="C23" s="35" t="s">
        <v>92</v>
      </c>
      <c r="D23" s="27" t="s">
        <v>125</v>
      </c>
      <c r="E23" s="27" t="s">
        <v>126</v>
      </c>
    </row>
    <row r="24" spans="1:5" x14ac:dyDescent="0.25">
      <c r="B24" s="27" t="s">
        <v>274</v>
      </c>
      <c r="C24" s="35" t="s">
        <v>95</v>
      </c>
      <c r="D24" s="27" t="s">
        <v>127</v>
      </c>
      <c r="E24" s="27" t="s">
        <v>128</v>
      </c>
    </row>
    <row r="25" spans="1:5" x14ac:dyDescent="0.25">
      <c r="B25" s="27" t="s">
        <v>273</v>
      </c>
      <c r="C25" s="35" t="s">
        <v>98</v>
      </c>
      <c r="D25" s="27" t="s">
        <v>129</v>
      </c>
      <c r="E25" s="27" t="s">
        <v>130</v>
      </c>
    </row>
    <row r="26" spans="1:5" x14ac:dyDescent="0.25">
      <c r="B26" s="27" t="s">
        <v>272</v>
      </c>
      <c r="C26" s="35" t="s">
        <v>101</v>
      </c>
      <c r="D26" s="27" t="s">
        <v>131</v>
      </c>
      <c r="E26" s="27" t="s">
        <v>132</v>
      </c>
    </row>
    <row r="27" spans="1:5" x14ac:dyDescent="0.25">
      <c r="B27" s="27" t="s">
        <v>271</v>
      </c>
      <c r="C27" s="35" t="s">
        <v>104</v>
      </c>
      <c r="D27" s="27" t="s">
        <v>133</v>
      </c>
      <c r="E27" s="27" t="s">
        <v>134</v>
      </c>
    </row>
    <row r="29" spans="1:5" x14ac:dyDescent="0.25">
      <c r="A29" s="27" t="s">
        <v>212</v>
      </c>
      <c r="B29" s="27" t="s">
        <v>276</v>
      </c>
      <c r="C29" s="35" t="s">
        <v>86</v>
      </c>
      <c r="D29" s="27" t="s">
        <v>135</v>
      </c>
      <c r="E29" s="27" t="s">
        <v>136</v>
      </c>
    </row>
    <row r="30" spans="1:5" x14ac:dyDescent="0.25">
      <c r="B30" s="27" t="s">
        <v>277</v>
      </c>
      <c r="C30" s="35" t="s">
        <v>89</v>
      </c>
      <c r="D30" s="27" t="s">
        <v>137</v>
      </c>
      <c r="E30" s="27" t="s">
        <v>138</v>
      </c>
    </row>
    <row r="31" spans="1:5" x14ac:dyDescent="0.25">
      <c r="B31" s="27" t="s">
        <v>275</v>
      </c>
      <c r="C31" s="35" t="s">
        <v>92</v>
      </c>
      <c r="D31" s="27" t="s">
        <v>139</v>
      </c>
      <c r="E31" s="27" t="s">
        <v>140</v>
      </c>
    </row>
    <row r="32" spans="1:5" x14ac:dyDescent="0.25">
      <c r="B32" s="27" t="s">
        <v>274</v>
      </c>
      <c r="C32" s="35" t="s">
        <v>95</v>
      </c>
      <c r="D32" s="27" t="s">
        <v>141</v>
      </c>
      <c r="E32" s="27" t="s">
        <v>142</v>
      </c>
    </row>
    <row r="33" spans="1:5" x14ac:dyDescent="0.25">
      <c r="B33" s="27" t="s">
        <v>273</v>
      </c>
      <c r="C33" s="35" t="s">
        <v>98</v>
      </c>
      <c r="D33" s="27" t="s">
        <v>143</v>
      </c>
      <c r="E33" s="27" t="s">
        <v>144</v>
      </c>
    </row>
    <row r="34" spans="1:5" x14ac:dyDescent="0.25">
      <c r="B34" s="27" t="s">
        <v>272</v>
      </c>
      <c r="C34" s="35" t="s">
        <v>101</v>
      </c>
      <c r="D34" s="27" t="s">
        <v>145</v>
      </c>
      <c r="E34" s="27" t="s">
        <v>146</v>
      </c>
    </row>
    <row r="35" spans="1:5" x14ac:dyDescent="0.25">
      <c r="B35" s="27" t="s">
        <v>284</v>
      </c>
      <c r="C35" s="35" t="s">
        <v>104</v>
      </c>
      <c r="D35" s="27" t="s">
        <v>147</v>
      </c>
      <c r="E35" s="27" t="s">
        <v>148</v>
      </c>
    </row>
    <row r="40" spans="1:5" ht="18.75" x14ac:dyDescent="0.25">
      <c r="A40" s="29" t="s">
        <v>219</v>
      </c>
      <c r="B40" s="29"/>
    </row>
    <row r="41" spans="1:5" x14ac:dyDescent="0.25">
      <c r="A41" s="28"/>
      <c r="B41" s="28"/>
      <c r="C41" s="28"/>
      <c r="D41" s="28"/>
      <c r="E41" s="28"/>
    </row>
    <row r="42" spans="1:5" x14ac:dyDescent="0.25">
      <c r="A42" s="27" t="s">
        <v>149</v>
      </c>
      <c r="B42" s="27" t="s">
        <v>270</v>
      </c>
      <c r="C42" s="35" t="s">
        <v>83</v>
      </c>
      <c r="D42" s="27" t="s">
        <v>84</v>
      </c>
      <c r="E42" s="27" t="s">
        <v>150</v>
      </c>
    </row>
    <row r="44" spans="1:5" ht="30" x14ac:dyDescent="0.25">
      <c r="A44" s="27" t="s">
        <v>151</v>
      </c>
      <c r="B44" s="27" t="s">
        <v>285</v>
      </c>
      <c r="C44" s="35" t="s">
        <v>95</v>
      </c>
      <c r="D44" s="27" t="s">
        <v>292</v>
      </c>
      <c r="E44" s="27" t="s">
        <v>152</v>
      </c>
    </row>
    <row r="45" spans="1:5" x14ac:dyDescent="0.25">
      <c r="B45" s="27" t="s">
        <v>286</v>
      </c>
      <c r="C45" s="35" t="s">
        <v>153</v>
      </c>
      <c r="D45" s="27" t="s">
        <v>293</v>
      </c>
      <c r="E45" s="27" t="s">
        <v>154</v>
      </c>
    </row>
    <row r="46" spans="1:5" x14ac:dyDescent="0.25">
      <c r="B46" s="27" t="s">
        <v>287</v>
      </c>
      <c r="C46" s="35" t="s">
        <v>98</v>
      </c>
      <c r="D46" s="27" t="s">
        <v>294</v>
      </c>
      <c r="E46" s="27" t="s">
        <v>155</v>
      </c>
    </row>
    <row r="47" spans="1:5" x14ac:dyDescent="0.25">
      <c r="B47" s="27" t="s">
        <v>288</v>
      </c>
      <c r="C47" s="35" t="s">
        <v>101</v>
      </c>
      <c r="D47" s="27" t="s">
        <v>290</v>
      </c>
      <c r="E47" s="27" t="s">
        <v>156</v>
      </c>
    </row>
    <row r="48" spans="1:5" x14ac:dyDescent="0.25">
      <c r="B48" s="27" t="s">
        <v>289</v>
      </c>
      <c r="C48" s="35" t="s">
        <v>104</v>
      </c>
      <c r="D48" s="27" t="s">
        <v>291</v>
      </c>
      <c r="E48" s="27" t="s">
        <v>157</v>
      </c>
    </row>
    <row r="50" spans="1:5" x14ac:dyDescent="0.25">
      <c r="A50" s="27" t="s">
        <v>158</v>
      </c>
      <c r="B50" s="27" t="s">
        <v>285</v>
      </c>
      <c r="C50" s="35" t="s">
        <v>95</v>
      </c>
      <c r="D50" s="27" t="s">
        <v>295</v>
      </c>
      <c r="E50" s="27" t="s">
        <v>159</v>
      </c>
    </row>
    <row r="51" spans="1:5" x14ac:dyDescent="0.25">
      <c r="B51" s="27" t="s">
        <v>286</v>
      </c>
      <c r="C51" s="35" t="s">
        <v>153</v>
      </c>
      <c r="D51" s="27" t="s">
        <v>296</v>
      </c>
      <c r="E51" s="27" t="s">
        <v>160</v>
      </c>
    </row>
    <row r="52" spans="1:5" x14ac:dyDescent="0.25">
      <c r="B52" s="27" t="s">
        <v>287</v>
      </c>
      <c r="C52" s="35" t="s">
        <v>98</v>
      </c>
      <c r="D52" s="27" t="s">
        <v>297</v>
      </c>
      <c r="E52" s="27" t="s">
        <v>161</v>
      </c>
    </row>
    <row r="53" spans="1:5" x14ac:dyDescent="0.25">
      <c r="B53" s="27" t="s">
        <v>288</v>
      </c>
      <c r="C53" s="35" t="s">
        <v>101</v>
      </c>
      <c r="D53" s="27" t="s">
        <v>298</v>
      </c>
      <c r="E53" s="27" t="s">
        <v>162</v>
      </c>
    </row>
    <row r="54" spans="1:5" x14ac:dyDescent="0.25">
      <c r="B54" s="27" t="s">
        <v>289</v>
      </c>
      <c r="C54" s="35" t="s">
        <v>104</v>
      </c>
      <c r="D54" s="27" t="s">
        <v>299</v>
      </c>
      <c r="E54" s="27" t="s">
        <v>163</v>
      </c>
    </row>
    <row r="56" spans="1:5" ht="30" x14ac:dyDescent="0.25">
      <c r="A56" s="27" t="s">
        <v>164</v>
      </c>
      <c r="B56" s="27" t="s">
        <v>285</v>
      </c>
      <c r="C56" s="35" t="s">
        <v>95</v>
      </c>
      <c r="D56" s="27" t="s">
        <v>300</v>
      </c>
      <c r="E56" s="27" t="s">
        <v>165</v>
      </c>
    </row>
    <row r="57" spans="1:5" x14ac:dyDescent="0.25">
      <c r="B57" s="27" t="s">
        <v>286</v>
      </c>
      <c r="C57" s="35" t="s">
        <v>153</v>
      </c>
      <c r="D57" s="27" t="s">
        <v>301</v>
      </c>
      <c r="E57" s="27" t="s">
        <v>166</v>
      </c>
    </row>
    <row r="58" spans="1:5" ht="30" x14ac:dyDescent="0.25">
      <c r="B58" s="27" t="s">
        <v>287</v>
      </c>
      <c r="C58" s="35" t="s">
        <v>98</v>
      </c>
      <c r="D58" s="27" t="s">
        <v>302</v>
      </c>
      <c r="E58" s="27" t="s">
        <v>167</v>
      </c>
    </row>
    <row r="59" spans="1:5" x14ac:dyDescent="0.25">
      <c r="B59" s="27" t="s">
        <v>288</v>
      </c>
      <c r="C59" s="35" t="s">
        <v>101</v>
      </c>
      <c r="D59" s="27" t="s">
        <v>303</v>
      </c>
      <c r="E59" s="27" t="s">
        <v>168</v>
      </c>
    </row>
    <row r="60" spans="1:5" ht="30" x14ac:dyDescent="0.25">
      <c r="B60" s="27" t="s">
        <v>289</v>
      </c>
      <c r="C60" s="35" t="s">
        <v>104</v>
      </c>
      <c r="D60" s="27" t="s">
        <v>304</v>
      </c>
      <c r="E60" s="27" t="s">
        <v>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1. Dashboard</vt:lpstr>
      <vt:lpstr>2. Use Cases</vt:lpstr>
      <vt:lpstr>3. DVF Filtering</vt:lpstr>
      <vt:lpstr>4. WSJF Scoring</vt:lpstr>
      <vt:lpstr>5. Dependencies Schedule</vt:lpstr>
      <vt:lpstr>6. Portfolio View</vt:lpstr>
      <vt:lpstr>7. Solutions</vt:lpstr>
      <vt:lpstr>8. Scoring Guidelines</vt:lpstr>
      <vt:lpstr>BusinessValueTable</vt:lpstr>
      <vt:lpstr>BusinessValueTerms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Dermot O'Brien</cp:lastModifiedBy>
  <dcterms:created xsi:type="dcterms:W3CDTF">2025-12-04T17:45:29Z</dcterms:created>
  <dcterms:modified xsi:type="dcterms:W3CDTF">2025-12-04T18:48:18Z</dcterms:modified>
</cp:coreProperties>
</file>