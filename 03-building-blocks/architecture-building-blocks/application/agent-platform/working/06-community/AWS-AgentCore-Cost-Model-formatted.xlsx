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Work\BNZ\work-bnz\02-architecture\03-agentic-ai\06-community\"/>
    </mc:Choice>
  </mc:AlternateContent>
  <xr:revisionPtr revIDLastSave="0" documentId="8_{F1D13839-7BD8-43FC-83F3-51FA84C6522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ummary" sheetId="1" r:id="rId1"/>
    <sheet name="Assumptions" sheetId="2" r:id="rId2"/>
    <sheet name="AWS Pricing" sheetId="3" r:id="rId3"/>
    <sheet name="Bill of Materials" sheetId="4" r:id="rId4"/>
    <sheet name="Calculations" sheetId="5" r:id="rId5"/>
    <sheet name="Scenarios" sheetId="6" r:id="rId6"/>
    <sheet name="Documentation" sheetId="7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B23" i="5"/>
  <c r="B25" i="5" s="1"/>
  <c r="B19" i="5"/>
  <c r="B18" i="5"/>
  <c r="B8" i="5"/>
  <c r="B13" i="5" s="1"/>
  <c r="B7" i="5"/>
  <c r="B7" i="1" s="1"/>
  <c r="B6" i="5"/>
  <c r="B6" i="1" s="1"/>
  <c r="B5" i="5"/>
  <c r="B5" i="1" s="1"/>
  <c r="B4" i="5"/>
  <c r="B4" i="1" s="1"/>
  <c r="B3" i="5"/>
  <c r="B3" i="1" s="1"/>
  <c r="B2" i="5"/>
  <c r="B2" i="1" s="1"/>
  <c r="E27" i="4"/>
  <c r="E25" i="4"/>
  <c r="G26" i="4" s="1"/>
  <c r="C25" i="4"/>
  <c r="E26" i="4" s="1"/>
  <c r="G27" i="4" s="1"/>
  <c r="E24" i="4"/>
  <c r="G25" i="4" s="1"/>
  <c r="E23" i="4"/>
  <c r="G24" i="4" s="1"/>
  <c r="C21" i="4"/>
  <c r="E22" i="4" s="1"/>
  <c r="G23" i="4" s="1"/>
  <c r="C20" i="4"/>
  <c r="E21" i="4" s="1"/>
  <c r="G22" i="4" s="1"/>
  <c r="C19" i="4"/>
  <c r="E20" i="4" s="1"/>
  <c r="G21" i="4" s="1"/>
  <c r="E18" i="4"/>
  <c r="G19" i="4" s="1"/>
  <c r="C18" i="4"/>
  <c r="E19" i="4" s="1"/>
  <c r="G20" i="4" s="1"/>
  <c r="E16" i="4"/>
  <c r="G17" i="4" s="1"/>
  <c r="C16" i="4"/>
  <c r="E17" i="4" s="1"/>
  <c r="G18" i="4" s="1"/>
  <c r="C15" i="4"/>
  <c r="C14" i="4"/>
  <c r="E15" i="4" s="1"/>
  <c r="G16" i="4" s="1"/>
  <c r="C13" i="4"/>
  <c r="E14" i="4" s="1"/>
  <c r="G15" i="4" s="1"/>
  <c r="E12" i="4"/>
  <c r="G13" i="4" s="1"/>
  <c r="C12" i="4"/>
  <c r="E13" i="4" s="1"/>
  <c r="G14" i="4" s="1"/>
  <c r="E11" i="4"/>
  <c r="G12" i="4" s="1"/>
  <c r="F9" i="4"/>
  <c r="C9" i="4"/>
  <c r="E10" i="4" s="1"/>
  <c r="G11" i="4" s="1"/>
  <c r="F8" i="4"/>
  <c r="C8" i="4"/>
  <c r="E9" i="4" s="1"/>
  <c r="G10" i="4" s="1"/>
  <c r="F7" i="4"/>
  <c r="C7" i="4"/>
  <c r="E8" i="4" s="1"/>
  <c r="G9" i="4" s="1"/>
  <c r="F6" i="4"/>
  <c r="C6" i="4"/>
  <c r="E7" i="4" s="1"/>
  <c r="G8" i="4" s="1"/>
  <c r="C5" i="4"/>
  <c r="E6" i="4" s="1"/>
  <c r="G7" i="4" s="1"/>
  <c r="F4" i="4"/>
  <c r="C4" i="4"/>
  <c r="E5" i="4" s="1"/>
  <c r="G6" i="4" s="1"/>
  <c r="F3" i="4"/>
  <c r="C3" i="4"/>
  <c r="E4" i="4" s="1"/>
  <c r="G5" i="4" s="1"/>
  <c r="G2" i="4"/>
  <c r="F2" i="4"/>
  <c r="E2" i="4"/>
  <c r="G3" i="4" s="1"/>
  <c r="C2" i="4"/>
  <c r="E3" i="4" s="1"/>
  <c r="G4" i="4" s="1"/>
  <c r="B9" i="1" l="1"/>
  <c r="B8" i="1"/>
  <c r="C2" i="1" s="1"/>
  <c r="B14" i="5"/>
  <c r="B9" i="5"/>
  <c r="B17" i="5"/>
  <c r="B22" i="5"/>
  <c r="B24" i="5" s="1"/>
  <c r="F2" i="6"/>
  <c r="G3" i="6" s="1"/>
  <c r="F3" i="6"/>
  <c r="G4" i="6" s="1"/>
  <c r="F4" i="6"/>
  <c r="G5" i="6" s="1"/>
  <c r="F5" i="6"/>
  <c r="G6" i="6" s="1"/>
  <c r="F6" i="6"/>
  <c r="G7" i="6" s="1"/>
  <c r="F7" i="6"/>
  <c r="G8" i="6" s="1"/>
  <c r="F8" i="6"/>
  <c r="G9" i="6" s="1"/>
  <c r="B12" i="5"/>
  <c r="F9" i="6"/>
  <c r="C6" i="1" l="1"/>
  <c r="C3" i="1"/>
  <c r="C7" i="1"/>
  <c r="C8" i="1"/>
  <c r="C5" i="1"/>
  <c r="C4" i="1"/>
</calcChain>
</file>

<file path=xl/sharedStrings.xml><?xml version="1.0" encoding="utf-8"?>
<sst xmlns="http://schemas.openxmlformats.org/spreadsheetml/2006/main" count="710" uniqueCount="450">
  <si>
    <t>Cost Category</t>
  </si>
  <si>
    <t>Monthly Cost (USD)</t>
  </si>
  <si>
    <t>Percentage</t>
  </si>
  <si>
    <t>Notes</t>
  </si>
  <si>
    <t>AgentCore Services</t>
  </si>
  <si>
    <t>Runtime, Browser, Code Interpreter, Gateway, Observability</t>
  </si>
  <si>
    <t>Foundation Models (Bedrock)</t>
  </si>
  <si>
    <t>Claude 3.5, Haiku, Llama models</t>
  </si>
  <si>
    <t>Supporting AWS Services</t>
  </si>
  <si>
    <t>EC2, Lambda, S3, DynamoDB</t>
  </si>
  <si>
    <t>Data Transfer &amp; Storage</t>
  </si>
  <si>
    <t>Inter-AZ, Internet egress, S3 storage</t>
  </si>
  <si>
    <t>Monitoring &amp; Logging</t>
  </si>
  <si>
    <t>CloudWatch metrics, logs, dashboards</t>
  </si>
  <si>
    <t>Network Infrastructure</t>
  </si>
  <si>
    <t>VPC, NAT Gateway, Load Balancer</t>
  </si>
  <si>
    <t>Security &amp; Compliance</t>
  </si>
  <si>
    <t>KMS, IAM, SSL certificates</t>
  </si>
  <si>
    <t>TOTAL MONTHLY COST</t>
  </si>
  <si>
    <t>100%</t>
  </si>
  <si>
    <t>Total estimated monthly cost</t>
  </si>
  <si>
    <t>Category</t>
  </si>
  <si>
    <t>Value</t>
  </si>
  <si>
    <t>Unit</t>
  </si>
  <si>
    <t>Description</t>
  </si>
  <si>
    <t>Team Size</t>
  </si>
  <si>
    <t>People</t>
  </si>
  <si>
    <t>Number of sandbox users in community</t>
  </si>
  <si>
    <t>Active Hours per Day</t>
  </si>
  <si>
    <t>Hours</t>
  </si>
  <si>
    <t>Daily active usage hours</t>
  </si>
  <si>
    <t>Working Days per Month</t>
  </si>
  <si>
    <t>Days</t>
  </si>
  <si>
    <t>Business days per month</t>
  </si>
  <si>
    <t>Sessions per User per Day</t>
  </si>
  <si>
    <t>Sessions</t>
  </si>
  <si>
    <t>AgentCore sessions per user daily</t>
  </si>
  <si>
    <t>Average Session Duration</t>
  </si>
  <si>
    <t>Seconds</t>
  </si>
  <si>
    <t>Typical session length</t>
  </si>
  <si>
    <t>Peak Concurrent Users</t>
  </si>
  <si>
    <t>Users</t>
  </si>
  <si>
    <t>Maximum simultaneous users</t>
  </si>
  <si>
    <t>Data Storage Growth</t>
  </si>
  <si>
    <t>GB/Month</t>
  </si>
  <si>
    <t>Monthly data accumulation</t>
  </si>
  <si>
    <t>MODEL USAGE DISTRIBUTION</t>
  </si>
  <si>
    <t>Claude 3.5 Sonnet</t>
  </si>
  <si>
    <t>%</t>
  </si>
  <si>
    <t>Percentage of model usage</t>
  </si>
  <si>
    <t>Claude 3.5 Haiku</t>
  </si>
  <si>
    <t>Llama 3.1 70B</t>
  </si>
  <si>
    <t>Llama 3.1 8B</t>
  </si>
  <si>
    <t>Average Input Tokens per Session</t>
  </si>
  <si>
    <t>Tokens</t>
  </si>
  <si>
    <t>Typical prompt size</t>
  </si>
  <si>
    <t>Average Output Tokens per Session</t>
  </si>
  <si>
    <t>Typical response size</t>
  </si>
  <si>
    <t>TECHNICAL SPECIFICATIONS</t>
  </si>
  <si>
    <t>CPU Usage per Session</t>
  </si>
  <si>
    <t>vCPU</t>
  </si>
  <si>
    <t>Processing requirement</t>
  </si>
  <si>
    <t>Memory Usage per Session</t>
  </si>
  <si>
    <t>GB</t>
  </si>
  <si>
    <t>RAM requirement</t>
  </si>
  <si>
    <t>Storage per User</t>
  </si>
  <si>
    <t>Individual storage allocation</t>
  </si>
  <si>
    <t>Log Retention Period</t>
  </si>
  <si>
    <t>CloudWatch log retention</t>
  </si>
  <si>
    <t>AWS Region</t>
  </si>
  <si>
    <t>us-east-1</t>
  </si>
  <si>
    <t>Region</t>
  </si>
  <si>
    <t>Primary deployment region</t>
  </si>
  <si>
    <t>Availability Zones</t>
  </si>
  <si>
    <t>Count</t>
  </si>
  <si>
    <t>Multi-AZ deployment</t>
  </si>
  <si>
    <t>VPC CIDR</t>
  </si>
  <si>
    <t>10.0.0.0/16</t>
  </si>
  <si>
    <t>CIDR</t>
  </si>
  <si>
    <t>Network address space</t>
  </si>
  <si>
    <t>Environment Type</t>
  </si>
  <si>
    <t>Sandbox</t>
  </si>
  <si>
    <t>Type</t>
  </si>
  <si>
    <t>Development/learning environment</t>
  </si>
  <si>
    <t>USAGE PATTERNS</t>
  </si>
  <si>
    <t>Peak Usage Hours</t>
  </si>
  <si>
    <t>9:00-17:00</t>
  </si>
  <si>
    <t>Time</t>
  </si>
  <si>
    <t>Daily peak period</t>
  </si>
  <si>
    <t>Off-Peak Multiplier</t>
  </si>
  <si>
    <t>Factor</t>
  </si>
  <si>
    <t>Usage reduction factor</t>
  </si>
  <si>
    <t>Weekend Multiplier</t>
  </si>
  <si>
    <t>Weekend usage reduction</t>
  </si>
  <si>
    <t>Growth Rate per Quarter</t>
  </si>
  <si>
    <t>Quarterly usage growth</t>
  </si>
  <si>
    <t>Experiment Frequency</t>
  </si>
  <si>
    <t>per Week</t>
  </si>
  <si>
    <t>PoC/PoV experiments per user</t>
  </si>
  <si>
    <t>Training Session Frequency</t>
  </si>
  <si>
    <t>per Month</t>
  </si>
  <si>
    <t>Formal training sessions</t>
  </si>
  <si>
    <t>Component</t>
  </si>
  <si>
    <t>Current Price (USD)</t>
  </si>
  <si>
    <t>Last Updated</t>
  </si>
  <si>
    <t>AgentCore Runtime</t>
  </si>
  <si>
    <t>CPU Usage</t>
  </si>
  <si>
    <t>per vCPU-second</t>
  </si>
  <si>
    <t>2024-12-01</t>
  </si>
  <si>
    <t>Consumption-based billing</t>
  </si>
  <si>
    <t>Memory Usage</t>
  </si>
  <si>
    <t>per GB-second</t>
  </si>
  <si>
    <t>Peak memory consumed</t>
  </si>
  <si>
    <t>AgentCore Browser</t>
  </si>
  <si>
    <t>Same as Runtime pricing</t>
  </si>
  <si>
    <t>AgentCore Code Interpreter</t>
  </si>
  <si>
    <t>AgentCore Gateway</t>
  </si>
  <si>
    <t>MCP Operations</t>
  </si>
  <si>
    <t>per operation</t>
  </si>
  <si>
    <t>ListTools CallTool operations</t>
  </si>
  <si>
    <t>Search Queries</t>
  </si>
  <si>
    <t>per query</t>
  </si>
  <si>
    <t>Semantic search functionality</t>
  </si>
  <si>
    <t>Tool Indexing</t>
  </si>
  <si>
    <t>per tool indexed</t>
  </si>
  <si>
    <t>One-time indexing cost</t>
  </si>
  <si>
    <t>AgentCore Observability</t>
  </si>
  <si>
    <t>Data Ingestion</t>
  </si>
  <si>
    <t>per GB</t>
  </si>
  <si>
    <t>CloudWatch Logs ingestion</t>
  </si>
  <si>
    <t>Data Storage</t>
  </si>
  <si>
    <t>per GB-month</t>
  </si>
  <si>
    <t>CloudWatch Logs storage</t>
  </si>
  <si>
    <t>Queries</t>
  </si>
  <si>
    <t>per 1000 queries</t>
  </si>
  <si>
    <t>Log analysis queries</t>
  </si>
  <si>
    <t>Bedrock Claude 3.5 Sonnet</t>
  </si>
  <si>
    <t>Input Tokens</t>
  </si>
  <si>
    <t>per 1K tokens</t>
  </si>
  <si>
    <t>Text generation input</t>
  </si>
  <si>
    <t>Output Tokens</t>
  </si>
  <si>
    <t>Text generation output</t>
  </si>
  <si>
    <t>Bedrock Claude 3.5 Haiku</t>
  </si>
  <si>
    <t>Lightweight model</t>
  </si>
  <si>
    <t>Bedrock Claude 3 Opus</t>
  </si>
  <si>
    <t>Most capable model</t>
  </si>
  <si>
    <t>Bedrock Llama 3.1 70B</t>
  </si>
  <si>
    <t>Open source model</t>
  </si>
  <si>
    <t>Bedrock Llama 3.1 8B</t>
  </si>
  <si>
    <t>Smaller open source</t>
  </si>
  <si>
    <t>EC2 t3.micro</t>
  </si>
  <si>
    <t>Instance Hour</t>
  </si>
  <si>
    <t>per hour</t>
  </si>
  <si>
    <t>Burstable performance</t>
  </si>
  <si>
    <t>EC2 t3.small</t>
  </si>
  <si>
    <t>EC2 t3.medium</t>
  </si>
  <si>
    <t>EC2 t3.large</t>
  </si>
  <si>
    <t>EC2 t4g.micro</t>
  </si>
  <si>
    <t>ARM-based Graviton2</t>
  </si>
  <si>
    <t>EC2 t4g.small</t>
  </si>
  <si>
    <t>Lambda Requests</t>
  </si>
  <si>
    <t>Requests</t>
  </si>
  <si>
    <t>per 1M requests</t>
  </si>
  <si>
    <t>First 1M free monthly</t>
  </si>
  <si>
    <t>Lambda Duration x86</t>
  </si>
  <si>
    <t>GB-seconds</t>
  </si>
  <si>
    <t>First 400K GB-s free</t>
  </si>
  <si>
    <t>Lambda Duration ARM</t>
  </si>
  <si>
    <t>Graviton2 ARM processors</t>
  </si>
  <si>
    <t>S3 Standard Storage</t>
  </si>
  <si>
    <t>Storage</t>
  </si>
  <si>
    <t>First 50TB pricing tier</t>
  </si>
  <si>
    <t>S3 Standard-IA Storage</t>
  </si>
  <si>
    <t>Infrequent access</t>
  </si>
  <si>
    <t>S3 GET Requests</t>
  </si>
  <si>
    <t>per 1K requests</t>
  </si>
  <si>
    <t>Data retrieval</t>
  </si>
  <si>
    <t>S3 PUT Requests</t>
  </si>
  <si>
    <t>Data upload</t>
  </si>
  <si>
    <t>DynamoDB On-Demand RRU</t>
  </si>
  <si>
    <t>Read Request Units</t>
  </si>
  <si>
    <t>per 1M RRUs</t>
  </si>
  <si>
    <t>Pay per request</t>
  </si>
  <si>
    <t>DynamoDB On-Demand WRU</t>
  </si>
  <si>
    <t>Write Request Units</t>
  </si>
  <si>
    <t>per 1M WRUs</t>
  </si>
  <si>
    <t>DynamoDB Storage</t>
  </si>
  <si>
    <t>Data storage</t>
  </si>
  <si>
    <t>CloudWatch Custom Metrics</t>
  </si>
  <si>
    <t>Metrics</t>
  </si>
  <si>
    <t>per metric-month</t>
  </si>
  <si>
    <t>First 10K free</t>
  </si>
  <si>
    <t>CloudWatch Log Ingestion</t>
  </si>
  <si>
    <t>First 5GB free monthly</t>
  </si>
  <si>
    <t>CloudWatch Log Storage</t>
  </si>
  <si>
    <t>Compressed storage</t>
  </si>
  <si>
    <t>CloudWatch Dashboards</t>
  </si>
  <si>
    <t>Dashboard</t>
  </si>
  <si>
    <t>per dashboard-month</t>
  </si>
  <si>
    <t>Up to 50 metrics</t>
  </si>
  <si>
    <t>VPC NAT Gateway Hours</t>
  </si>
  <si>
    <t>Instance Hours</t>
  </si>
  <si>
    <t>Highly available NAT</t>
  </si>
  <si>
    <t>VPC NAT Gateway Data</t>
  </si>
  <si>
    <t>Data Processing</t>
  </si>
  <si>
    <t>Data processed</t>
  </si>
  <si>
    <t>Data Transfer Same AZ</t>
  </si>
  <si>
    <t>Data Transfer</t>
  </si>
  <si>
    <t>Free within same AZ</t>
  </si>
  <si>
    <t>Data Transfer Inter-AZ</t>
  </si>
  <si>
    <t>Between AZs same region</t>
  </si>
  <si>
    <t>Data Transfer Inter-Region</t>
  </si>
  <si>
    <t>US East to US West</t>
  </si>
  <si>
    <t>Data Transfer Internet 1GB-10TB</t>
  </si>
  <si>
    <t>Next 9.999TB</t>
  </si>
  <si>
    <t>Service Category</t>
  </si>
  <si>
    <t>Quantity</t>
  </si>
  <si>
    <t>Monthly Usage</t>
  </si>
  <si>
    <t>Unit Cost (USD)</t>
  </si>
  <si>
    <t>Sessions/Month</t>
  </si>
  <si>
    <t>Operations/Month</t>
  </si>
  <si>
    <t>AWS_Pricing!E7</t>
  </si>
  <si>
    <t>Foundation Models</t>
  </si>
  <si>
    <t>Usage %</t>
  </si>
  <si>
    <t>Compute Services</t>
  </si>
  <si>
    <t>Instances</t>
  </si>
  <si>
    <t>AWS_Pricing!E25</t>
  </si>
  <si>
    <t>AWS_Pricing!E28</t>
  </si>
  <si>
    <t>Lambda Functions</t>
  </si>
  <si>
    <t>Invocations/Month</t>
  </si>
  <si>
    <t>AWS_Pricing!E30*1</t>
  </si>
  <si>
    <t>Lambda ARM Functions</t>
  </si>
  <si>
    <t>AWS_Pricing!E31*1</t>
  </si>
  <si>
    <t>Storage Services</t>
  </si>
  <si>
    <t>AWS_Pricing!E32</t>
  </si>
  <si>
    <t>AWS_Pricing!E33</t>
  </si>
  <si>
    <t>S3 API Operations</t>
  </si>
  <si>
    <t>API Calls/Month</t>
  </si>
  <si>
    <t>AWS_Pricing!E34</t>
  </si>
  <si>
    <t>Database Services</t>
  </si>
  <si>
    <t>DynamoDB Tables</t>
  </si>
  <si>
    <t>Tables</t>
  </si>
  <si>
    <t>AWS_Pricing!E38</t>
  </si>
  <si>
    <t>DynamoDB Read Units</t>
  </si>
  <si>
    <t>RRUs/Month</t>
  </si>
  <si>
    <t>AWS_Pricing!E36</t>
  </si>
  <si>
    <t>DynamoDB Write Units</t>
  </si>
  <si>
    <t>WRUs/Month</t>
  </si>
  <si>
    <t>AWS_Pricing!E37</t>
  </si>
  <si>
    <t>Monitoring Services</t>
  </si>
  <si>
    <t>CloudWatch Metrics</t>
  </si>
  <si>
    <t>AWS_Pricing!E39</t>
  </si>
  <si>
    <t>CloudWatch Logs</t>
  </si>
  <si>
    <t>AWS_Pricing!E40</t>
  </si>
  <si>
    <t>Dashboards</t>
  </si>
  <si>
    <t>AWS_Pricing!E42</t>
  </si>
  <si>
    <t>Network Services</t>
  </si>
  <si>
    <t>VPC NAT Gateway</t>
  </si>
  <si>
    <t>Hours/Month</t>
  </si>
  <si>
    <t>AWS_Pricing!E43</t>
  </si>
  <si>
    <t>Application Load Balancer</t>
  </si>
  <si>
    <t>AWS_Pricing!E48</t>
  </si>
  <si>
    <t>Security Services</t>
  </si>
  <si>
    <t>KMS Keys</t>
  </si>
  <si>
    <t>Keys</t>
  </si>
  <si>
    <t>SSL Certificates</t>
  </si>
  <si>
    <t>Certificates</t>
  </si>
  <si>
    <t>Formula/Value</t>
  </si>
  <si>
    <t>Result (USD)</t>
  </si>
  <si>
    <t>AgentCore Services Total</t>
  </si>
  <si>
    <t>Runtime, Browser, Code Interpreter, Gateway costs</t>
  </si>
  <si>
    <t>Foundation Models Total</t>
  </si>
  <si>
    <t>All Bedrock model inference costs</t>
  </si>
  <si>
    <t>Supporting AWS Services Total</t>
  </si>
  <si>
    <t>EC2, Lambda, S3, DynamoDB costs</t>
  </si>
  <si>
    <t>Data Transfer &amp; Storage Total</t>
  </si>
  <si>
    <t>Storage and data transfer costs</t>
  </si>
  <si>
    <t>Monitoring &amp; Logging Total</t>
  </si>
  <si>
    <t>Network Infrastructure Total</t>
  </si>
  <si>
    <t>VPC, NAT Gateway, ALB costs</t>
  </si>
  <si>
    <t>Security &amp; Compliance Total</t>
  </si>
  <si>
    <t>KMS keys and SSL certificates</t>
  </si>
  <si>
    <t>Complete monthly cost estimate</t>
  </si>
  <si>
    <t>BREAKDOWN BY USAGE PATTERN</t>
  </si>
  <si>
    <t>Cost distribution by usage pattern</t>
  </si>
  <si>
    <t>Peak Hours Cost (70%)</t>
  </si>
  <si>
    <t>Business hours (9-5) usage cost</t>
  </si>
  <si>
    <t>Off-Peak Hours Cost (20%)</t>
  </si>
  <si>
    <t>After hours usage cost</t>
  </si>
  <si>
    <t>Weekend Cost (10%)</t>
  </si>
  <si>
    <t>Weekend usage cost</t>
  </si>
  <si>
    <t>COST PER USER</t>
  </si>
  <si>
    <t>Per-user cost metrics</t>
  </si>
  <si>
    <t>Monthly Cost per User</t>
  </si>
  <si>
    <t>Total cost divided by team size</t>
  </si>
  <si>
    <t>Daily Cost per User</t>
  </si>
  <si>
    <t>Monthly cost per working day</t>
  </si>
  <si>
    <t>Cost per Session</t>
  </si>
  <si>
    <t>Cost per individual session</t>
  </si>
  <si>
    <t>QUARTERLY PROJECTIONS</t>
  </si>
  <si>
    <t>Growth projections</t>
  </si>
  <si>
    <t>Q1 Estimate</t>
  </si>
  <si>
    <t>Current quarter estimate</t>
  </si>
  <si>
    <t>Q2 Estimate (15% growth)</t>
  </si>
  <si>
    <t>Next quarter with growth</t>
  </si>
  <si>
    <t>Q3 Estimate (cumulative)</t>
  </si>
  <si>
    <t>Third quarter projection</t>
  </si>
  <si>
    <t>Q4 Estimate (cumulative)</t>
  </si>
  <si>
    <t>Fourth quarter projection</t>
  </si>
  <si>
    <t>Scenario</t>
  </si>
  <si>
    <t>Session Duration (sec)</t>
  </si>
  <si>
    <t>Model Mix - Claude %</t>
  </si>
  <si>
    <t>Monthly Cost</t>
  </si>
  <si>
    <t>Baseline (Current)</t>
  </si>
  <si>
    <t>Standard sandbox usage pattern</t>
  </si>
  <si>
    <t>Light Usage</t>
  </si>
  <si>
    <t>Minimal experimentation</t>
  </si>
  <si>
    <t>Heavy Usage</t>
  </si>
  <si>
    <t>Active development phase</t>
  </si>
  <si>
    <t>Training Event</t>
  </si>
  <si>
    <t>Intensive training workshop</t>
  </si>
  <si>
    <t>Quarter End</t>
  </si>
  <si>
    <t>Month-end reporting spike</t>
  </si>
  <si>
    <t>Experiment Phase</t>
  </si>
  <si>
    <t>Multiple PoCs running</t>
  </si>
  <si>
    <t>Production Pilot</t>
  </si>
  <si>
    <t>Pre-production testing</t>
  </si>
  <si>
    <t>Full Rollout</t>
  </si>
  <si>
    <t>Full community deployment</t>
  </si>
  <si>
    <t>Section</t>
  </si>
  <si>
    <t>Reference/Link</t>
  </si>
  <si>
    <t>Action Required</t>
  </si>
  <si>
    <t>OVERVIEW</t>
  </si>
  <si>
    <t>Purpose</t>
  </si>
  <si>
    <t>AWS AgentCore cost model for community sandbox environments</t>
  </si>
  <si>
    <t>README.md</t>
  </si>
  <si>
    <t>No action</t>
  </si>
  <si>
    <t>Scope</t>
  </si>
  <si>
    <t>Learning, experimentation, PoC development</t>
  </si>
  <si>
    <t>Project charter</t>
  </si>
  <si>
    <t>Audience</t>
  </si>
  <si>
    <t>IT architects, finance teams, project managers</t>
  </si>
  <si>
    <t>Stakeholder list</t>
  </si>
  <si>
    <t>2025-10-17</t>
  </si>
  <si>
    <t>Version control</t>
  </si>
  <si>
    <t>Update monthly</t>
  </si>
  <si>
    <t>KEY ASSUMPTIONS</t>
  </si>
  <si>
    <t>Sandbox/development, not production</t>
  </si>
  <si>
    <t>Assumptions worksheet</t>
  </si>
  <si>
    <t>Validate quarterly</t>
  </si>
  <si>
    <t>Usage Pattern</t>
  </si>
  <si>
    <t>Business hours, moderate usage, learning focus</t>
  </si>
  <si>
    <t>Usage analysis</t>
  </si>
  <si>
    <t>Monitor continuously</t>
  </si>
  <si>
    <t>Geographic Region</t>
  </si>
  <si>
    <t>US East (N. Virginia) - us-east-1</t>
  </si>
  <si>
    <t>AWS region selection</t>
  </si>
  <si>
    <t>Cost Optimization</t>
  </si>
  <si>
    <t>Basic level, standard configurations</t>
  </si>
  <si>
    <t>Cost optimization guide</t>
  </si>
  <si>
    <t>Review quarterly</t>
  </si>
  <si>
    <t>WORKSHEET DESCRIPTIONS</t>
  </si>
  <si>
    <t>Summary</t>
  </si>
  <si>
    <t>Executive dashboard with monthly cost breakdown</t>
  </si>
  <si>
    <t>Summary worksheet</t>
  </si>
  <si>
    <t>Update formulas as needed</t>
  </si>
  <si>
    <t>Assumptions</t>
  </si>
  <si>
    <t>Project parameters and usage assumptions</t>
  </si>
  <si>
    <t>Review monthly</t>
  </si>
  <si>
    <t>AWS Pricing</t>
  </si>
  <si>
    <t>Current AWS service pricing (updatable)</t>
  </si>
  <si>
    <t>AWS Pricing worksheet</t>
  </si>
  <si>
    <t>Update quarterly</t>
  </si>
  <si>
    <t>Bill of Materials</t>
  </si>
  <si>
    <t>Detailed component quantities and specifications</t>
  </si>
  <si>
    <t>Bill of Materials worksheet</t>
  </si>
  <si>
    <t>Calculations</t>
  </si>
  <si>
    <t>Cost formulas and calculations</t>
  </si>
  <si>
    <t>Calculations worksheet</t>
  </si>
  <si>
    <t>Validate formulas</t>
  </si>
  <si>
    <t>Scenarios</t>
  </si>
  <si>
    <t>Multiple usage scenarios for comparison</t>
  </si>
  <si>
    <t>Scenarios worksheet</t>
  </si>
  <si>
    <t>Add new scenarios</t>
  </si>
  <si>
    <t>Documentation</t>
  </si>
  <si>
    <t>This reference guide and maintenance notes</t>
  </si>
  <si>
    <t>Documentation worksheet</t>
  </si>
  <si>
    <t>Update as needed</t>
  </si>
  <si>
    <t>COST OPTIMIZATION TIPS</t>
  </si>
  <si>
    <t>Same-AZ Placement</t>
  </si>
  <si>
    <t>Deploy services in same AZ to avoid data transfer costs</t>
  </si>
  <si>
    <t>AWS Well-Architected Framework</t>
  </si>
  <si>
    <t>Implement as needed</t>
  </si>
  <si>
    <t>Model Selection</t>
  </si>
  <si>
    <t>Use appropriate model for task complexity (Haiku vs Sonnet)</t>
  </si>
  <si>
    <t>Bedrock model comparison</t>
  </si>
  <si>
    <t>Optimize based on usage</t>
  </si>
  <si>
    <t>Caching Strategy</t>
  </si>
  <si>
    <t>Implement response caching to reduce model calls</t>
  </si>
  <si>
    <t>CloudFront caching</t>
  </si>
  <si>
    <t>Resource Right-sizing</t>
  </si>
  <si>
    <t>Size EC2 instances based on actual usage patterns</t>
  </si>
  <si>
    <t>CloudWatch metrics</t>
  </si>
  <si>
    <t>Monitor and adjust</t>
  </si>
  <si>
    <t>Scheduled Scaling</t>
  </si>
  <si>
    <t>Scale down during off-hours and weekends</t>
  </si>
  <si>
    <t>Auto Scaling</t>
  </si>
  <si>
    <t>Configure as needed</t>
  </si>
  <si>
    <t>Reserved Instances</t>
  </si>
  <si>
    <t>Consider RIs for predictable baseline workloads</t>
  </si>
  <si>
    <t>RI recommendations</t>
  </si>
  <si>
    <t>Evaluate annually</t>
  </si>
  <si>
    <t>Spot Instances</t>
  </si>
  <si>
    <t>Use Spot for non-critical development workloads</t>
  </si>
  <si>
    <t>EC2 Spot pricing</t>
  </si>
  <si>
    <t>Consider for dev/test</t>
  </si>
  <si>
    <t>DATA SOURCES</t>
  </si>
  <si>
    <t>AWS Pricing Calculator</t>
  </si>
  <si>
    <t>https://calculator.aws/</t>
  </si>
  <si>
    <t>AWS Calculator</t>
  </si>
  <si>
    <t>Bookmark for reference</t>
  </si>
  <si>
    <t>Bedrock Pricing</t>
  </si>
  <si>
    <t>https://aws.amazon.com/bedrock/pricing/</t>
  </si>
  <si>
    <t>Bedrock docs</t>
  </si>
  <si>
    <t>AgentCore Documentation</t>
  </si>
  <si>
    <t>AWS AgentCore service documentation</t>
  </si>
  <si>
    <t>AgentCore docs</t>
  </si>
  <si>
    <t>CloudWatch Pricing</t>
  </si>
  <si>
    <t>https://aws.amazon.com/cloudwatch/pricing/</t>
  </si>
  <si>
    <t>CloudWatch docs</t>
  </si>
  <si>
    <t>MAINTENANCE</t>
  </si>
  <si>
    <t>Monthly Review</t>
  </si>
  <si>
    <t>Review actual vs. estimated costs monthly</t>
  </si>
  <si>
    <t>Cost analysis report</t>
  </si>
  <si>
    <t>Schedule monthly</t>
  </si>
  <si>
    <t>Quarterly Adjustment</t>
  </si>
  <si>
    <t>Adjust assumptions based on usage patterns</t>
  </si>
  <si>
    <t>Growth planning</t>
  </si>
  <si>
    <t>Schedule quarterly</t>
  </si>
  <si>
    <t>Annual Planning</t>
  </si>
  <si>
    <t>Plan for growth and new use cases</t>
  </si>
  <si>
    <t>Budget planning</t>
  </si>
  <si>
    <t>Schedule annually</t>
  </si>
  <si>
    <t>Price Updates</t>
  </si>
  <si>
    <t>Update pricing data quarterly or as needed</t>
  </si>
  <si>
    <t>Price monitoring</t>
  </si>
  <si>
    <t>Set alerts</t>
  </si>
  <si>
    <t>Community Assumptions</t>
  </si>
  <si>
    <t>Sessions / User / Day</t>
  </si>
  <si>
    <t>Cost / User /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</si>
</sst>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174" fontId="1" fillId="0" borderId="1" xfId="0" applyNumberFormat="1" applyFont="1" applyBorder="1" applyAlignment="1">
      <alignment horizontal="center" vertical="top" wrapText="1"/>
    </xf>
    <xf numFmtId="174" fontId="0" fillId="0" borderId="0" xfId="0" applyNumberFormat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14" fontId="0" fillId="0" borderId="0" xfId="0" applyNumberFormat="1" applyAlignment="1">
      <alignment vertical="top" wrapText="1"/>
    </xf>
    <xf numFmtId="49" fontId="1" fillId="0" borderId="1" xfId="0" applyNumberFormat="1" applyFont="1" applyBorder="1" applyAlignment="1">
      <alignment horizontal="center" vertical="top" wrapText="1"/>
    </xf>
    <xf numFmtId="49" fontId="0" fillId="0" borderId="0" xfId="0" applyNumberFormat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WS_Pricing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S_Pricing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B13" sqref="B13"/>
    </sheetView>
  </sheetViews>
  <sheetFormatPr defaultRowHeight="15" x14ac:dyDescent="0.25"/>
  <cols>
    <col min="1" max="1" width="29.28515625" style="3" customWidth="1"/>
    <col min="2" max="2" width="20.28515625" style="3" customWidth="1"/>
    <col min="3" max="3" width="14.5703125" style="3" customWidth="1"/>
    <col min="4" max="4" width="63.28515625" style="3" customWidth="1"/>
    <col min="5" max="9" width="9.140625" style="3"/>
  </cols>
  <sheetData>
    <row r="1" spans="1:4" x14ac:dyDescent="0.25">
      <c r="A1" s="2" t="s">
        <v>0</v>
      </c>
      <c r="B1" s="2" t="s">
        <v>1</v>
      </c>
      <c r="C1" s="6" t="s">
        <v>2</v>
      </c>
      <c r="D1" s="2" t="s">
        <v>3</v>
      </c>
    </row>
    <row r="2" spans="1:4" x14ac:dyDescent="0.25">
      <c r="A2" s="3" t="s">
        <v>4</v>
      </c>
      <c r="B2" s="3" t="e">
        <f>Calculations!B2</f>
        <v>#REF!</v>
      </c>
      <c r="C2" s="3" t="e">
        <f t="shared" ref="C2:C8" si="0">B1/$B$8*100</f>
        <v>#VALUE!</v>
      </c>
      <c r="D2" s="3" t="s">
        <v>5</v>
      </c>
    </row>
    <row r="3" spans="1:4" x14ac:dyDescent="0.25">
      <c r="A3" s="3" t="s">
        <v>6</v>
      </c>
      <c r="B3" s="3" t="e">
        <f>Calculations!B3</f>
        <v>#REF!</v>
      </c>
      <c r="C3" s="3" t="e">
        <f t="shared" si="0"/>
        <v>#REF!</v>
      </c>
      <c r="D3" s="3" t="s">
        <v>7</v>
      </c>
    </row>
    <row r="4" spans="1:4" x14ac:dyDescent="0.25">
      <c r="A4" s="3" t="s">
        <v>8</v>
      </c>
      <c r="B4" s="3" t="e">
        <f>Calculations!B4</f>
        <v>#REF!</v>
      </c>
      <c r="C4" s="3" t="e">
        <f t="shared" si="0"/>
        <v>#REF!</v>
      </c>
      <c r="D4" s="3" t="s">
        <v>9</v>
      </c>
    </row>
    <row r="5" spans="1:4" x14ac:dyDescent="0.25">
      <c r="A5" s="3" t="s">
        <v>10</v>
      </c>
      <c r="B5" s="3" t="e">
        <f>Calculations!B5</f>
        <v>#REF!</v>
      </c>
      <c r="C5" s="3" t="e">
        <f t="shared" si="0"/>
        <v>#REF!</v>
      </c>
      <c r="D5" s="3" t="s">
        <v>11</v>
      </c>
    </row>
    <row r="6" spans="1:4" x14ac:dyDescent="0.25">
      <c r="A6" s="3" t="s">
        <v>12</v>
      </c>
      <c r="B6" s="3" t="e">
        <f>Calculations!B6</f>
        <v>#REF!</v>
      </c>
      <c r="C6" s="3" t="e">
        <f t="shared" si="0"/>
        <v>#REF!</v>
      </c>
      <c r="D6" s="3" t="s">
        <v>13</v>
      </c>
    </row>
    <row r="7" spans="1:4" x14ac:dyDescent="0.25">
      <c r="A7" s="3" t="s">
        <v>14</v>
      </c>
      <c r="B7" s="3" t="e">
        <f>Calculations!B7</f>
        <v>#REF!</v>
      </c>
      <c r="C7" s="3" t="e">
        <f t="shared" si="0"/>
        <v>#REF!</v>
      </c>
      <c r="D7" s="3" t="s">
        <v>15</v>
      </c>
    </row>
    <row r="8" spans="1:4" x14ac:dyDescent="0.25">
      <c r="A8" s="3" t="s">
        <v>16</v>
      </c>
      <c r="B8" s="3" t="e">
        <f>Calculations!B8</f>
        <v>#REF!</v>
      </c>
      <c r="C8" s="3" t="e">
        <f t="shared" si="0"/>
        <v>#REF!</v>
      </c>
      <c r="D8" s="3" t="s">
        <v>17</v>
      </c>
    </row>
    <row r="9" spans="1:4" x14ac:dyDescent="0.25">
      <c r="A9" s="3" t="s">
        <v>18</v>
      </c>
      <c r="B9" s="3" t="e">
        <f>SUM(B1:B7)</f>
        <v>#REF!</v>
      </c>
      <c r="C9" s="3" t="s">
        <v>19</v>
      </c>
      <c r="D9" s="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opLeftCell="A4" workbookViewId="0">
      <selection activeCell="A32" sqref="A32"/>
    </sheetView>
  </sheetViews>
  <sheetFormatPr defaultRowHeight="15" x14ac:dyDescent="0.25"/>
  <cols>
    <col min="1" max="1" width="19.5703125" style="3" customWidth="1"/>
    <col min="2" max="2" width="14.85546875" style="3" customWidth="1"/>
    <col min="3" max="3" width="15.140625" style="3" customWidth="1"/>
    <col min="4" max="4" width="36.85546875" style="3" customWidth="1"/>
    <col min="5" max="11" width="9.140625" style="3"/>
  </cols>
  <sheetData>
    <row r="1" spans="1:4" x14ac:dyDescent="0.25">
      <c r="A1" s="2" t="s">
        <v>21</v>
      </c>
      <c r="B1" s="2" t="s">
        <v>22</v>
      </c>
      <c r="C1" s="2" t="s">
        <v>23</v>
      </c>
      <c r="D1" s="2" t="s">
        <v>24</v>
      </c>
    </row>
    <row r="2" spans="1:4" x14ac:dyDescent="0.25">
      <c r="A2" s="12" t="s">
        <v>447</v>
      </c>
      <c r="B2" s="12"/>
      <c r="C2" s="12"/>
      <c r="D2" s="12"/>
    </row>
    <row r="3" spans="1:4" ht="30" x14ac:dyDescent="0.25">
      <c r="A3" s="3" t="s">
        <v>25</v>
      </c>
      <c r="B3" s="3">
        <v>10</v>
      </c>
      <c r="C3" s="3" t="s">
        <v>26</v>
      </c>
      <c r="D3" s="3" t="s">
        <v>27</v>
      </c>
    </row>
    <row r="4" spans="1:4" x14ac:dyDescent="0.25">
      <c r="A4" s="3" t="s">
        <v>28</v>
      </c>
      <c r="B4" s="3">
        <v>8</v>
      </c>
      <c r="C4" s="3" t="s">
        <v>29</v>
      </c>
      <c r="D4" s="3" t="s">
        <v>30</v>
      </c>
    </row>
    <row r="5" spans="1:4" ht="30" x14ac:dyDescent="0.25">
      <c r="A5" s="3" t="s">
        <v>31</v>
      </c>
      <c r="B5" s="3">
        <v>22</v>
      </c>
      <c r="C5" s="3" t="s">
        <v>32</v>
      </c>
      <c r="D5" s="3" t="s">
        <v>33</v>
      </c>
    </row>
    <row r="6" spans="1:4" ht="30" x14ac:dyDescent="0.25">
      <c r="A6" s="3" t="s">
        <v>34</v>
      </c>
      <c r="B6" s="3">
        <v>3</v>
      </c>
      <c r="C6" s="3" t="s">
        <v>35</v>
      </c>
      <c r="D6" s="3" t="s">
        <v>36</v>
      </c>
    </row>
    <row r="7" spans="1:4" ht="30" x14ac:dyDescent="0.25">
      <c r="A7" s="3" t="s">
        <v>37</v>
      </c>
      <c r="B7" s="3">
        <v>120</v>
      </c>
      <c r="C7" s="3" t="s">
        <v>38</v>
      </c>
      <c r="D7" s="3" t="s">
        <v>39</v>
      </c>
    </row>
    <row r="8" spans="1:4" ht="30" x14ac:dyDescent="0.25">
      <c r="A8" s="3" t="s">
        <v>40</v>
      </c>
      <c r="B8" s="3">
        <v>5</v>
      </c>
      <c r="C8" s="3" t="s">
        <v>41</v>
      </c>
      <c r="D8" s="3" t="s">
        <v>42</v>
      </c>
    </row>
    <row r="9" spans="1:4" x14ac:dyDescent="0.25">
      <c r="A9" s="3" t="s">
        <v>43</v>
      </c>
      <c r="B9" s="3">
        <v>10</v>
      </c>
      <c r="C9" s="3" t="s">
        <v>44</v>
      </c>
      <c r="D9" s="3" t="s">
        <v>45</v>
      </c>
    </row>
    <row r="10" spans="1:4" x14ac:dyDescent="0.25">
      <c r="A10" s="13" t="s">
        <v>46</v>
      </c>
      <c r="B10" s="13"/>
      <c r="C10" s="13"/>
      <c r="D10" s="13"/>
    </row>
    <row r="11" spans="1:4" x14ac:dyDescent="0.25">
      <c r="A11" s="3" t="s">
        <v>47</v>
      </c>
      <c r="B11" s="3">
        <v>40</v>
      </c>
      <c r="C11" s="3" t="s">
        <v>48</v>
      </c>
      <c r="D11" s="3" t="s">
        <v>49</v>
      </c>
    </row>
    <row r="12" spans="1:4" x14ac:dyDescent="0.25">
      <c r="A12" s="3" t="s">
        <v>50</v>
      </c>
      <c r="B12" s="3">
        <v>30</v>
      </c>
      <c r="C12" s="3" t="s">
        <v>48</v>
      </c>
      <c r="D12" s="3" t="s">
        <v>49</v>
      </c>
    </row>
    <row r="13" spans="1:4" x14ac:dyDescent="0.25">
      <c r="A13" s="3" t="s">
        <v>51</v>
      </c>
      <c r="B13" s="3">
        <v>20</v>
      </c>
      <c r="C13" s="3" t="s">
        <v>48</v>
      </c>
      <c r="D13" s="3" t="s">
        <v>49</v>
      </c>
    </row>
    <row r="14" spans="1:4" x14ac:dyDescent="0.25">
      <c r="A14" s="3" t="s">
        <v>52</v>
      </c>
      <c r="B14" s="3">
        <v>10</v>
      </c>
      <c r="C14" s="3" t="s">
        <v>48</v>
      </c>
      <c r="D14" s="3" t="s">
        <v>49</v>
      </c>
    </row>
    <row r="15" spans="1:4" ht="30" x14ac:dyDescent="0.25">
      <c r="A15" s="3" t="s">
        <v>53</v>
      </c>
      <c r="B15" s="3">
        <v>500</v>
      </c>
      <c r="C15" s="3" t="s">
        <v>54</v>
      </c>
      <c r="D15" s="3" t="s">
        <v>55</v>
      </c>
    </row>
    <row r="16" spans="1:4" ht="30" x14ac:dyDescent="0.25">
      <c r="A16" s="3" t="s">
        <v>56</v>
      </c>
      <c r="B16" s="3">
        <v>300</v>
      </c>
      <c r="C16" s="3" t="s">
        <v>54</v>
      </c>
      <c r="D16" s="3" t="s">
        <v>57</v>
      </c>
    </row>
    <row r="17" spans="1:4" x14ac:dyDescent="0.25">
      <c r="A17" s="13" t="s">
        <v>58</v>
      </c>
      <c r="B17" s="13"/>
      <c r="C17" s="13"/>
      <c r="D17" s="13"/>
    </row>
    <row r="18" spans="1:4" ht="30" x14ac:dyDescent="0.25">
      <c r="A18" s="3" t="s">
        <v>59</v>
      </c>
      <c r="B18" s="3">
        <v>0.5</v>
      </c>
      <c r="C18" s="3" t="s">
        <v>60</v>
      </c>
      <c r="D18" s="3" t="s">
        <v>61</v>
      </c>
    </row>
    <row r="19" spans="1:4" ht="30" x14ac:dyDescent="0.25">
      <c r="A19" s="3" t="s">
        <v>62</v>
      </c>
      <c r="B19" s="3">
        <v>1</v>
      </c>
      <c r="C19" s="3" t="s">
        <v>63</v>
      </c>
      <c r="D19" s="3" t="s">
        <v>64</v>
      </c>
    </row>
    <row r="20" spans="1:4" x14ac:dyDescent="0.25">
      <c r="A20" s="3" t="s">
        <v>65</v>
      </c>
      <c r="B20" s="3">
        <v>5</v>
      </c>
      <c r="C20" s="3" t="s">
        <v>63</v>
      </c>
      <c r="D20" s="3" t="s">
        <v>66</v>
      </c>
    </row>
    <row r="21" spans="1:4" ht="30" x14ac:dyDescent="0.25">
      <c r="A21" s="3" t="s">
        <v>67</v>
      </c>
      <c r="B21" s="3">
        <v>30</v>
      </c>
      <c r="C21" s="3" t="s">
        <v>32</v>
      </c>
      <c r="D21" s="3" t="s">
        <v>68</v>
      </c>
    </row>
    <row r="22" spans="1:4" x14ac:dyDescent="0.25">
      <c r="A22" s="3" t="s">
        <v>69</v>
      </c>
      <c r="B22" s="3" t="s">
        <v>70</v>
      </c>
      <c r="C22" s="3" t="s">
        <v>71</v>
      </c>
      <c r="D22" s="3" t="s">
        <v>72</v>
      </c>
    </row>
    <row r="23" spans="1:4" x14ac:dyDescent="0.25">
      <c r="A23" s="3" t="s">
        <v>73</v>
      </c>
      <c r="B23" s="3">
        <v>2</v>
      </c>
      <c r="C23" s="3" t="s">
        <v>74</v>
      </c>
      <c r="D23" s="3" t="s">
        <v>75</v>
      </c>
    </row>
    <row r="24" spans="1:4" ht="30" x14ac:dyDescent="0.25">
      <c r="A24" s="3" t="s">
        <v>76</v>
      </c>
      <c r="B24" s="3" t="s">
        <v>77</v>
      </c>
      <c r="C24" s="3" t="s">
        <v>78</v>
      </c>
      <c r="D24" s="3" t="s">
        <v>79</v>
      </c>
    </row>
    <row r="25" spans="1:4" x14ac:dyDescent="0.25">
      <c r="A25" s="3" t="s">
        <v>80</v>
      </c>
      <c r="B25" s="3" t="s">
        <v>81</v>
      </c>
      <c r="C25" s="3" t="s">
        <v>82</v>
      </c>
      <c r="D25" s="3" t="s">
        <v>83</v>
      </c>
    </row>
    <row r="26" spans="1:4" x14ac:dyDescent="0.25">
      <c r="A26" s="13" t="s">
        <v>84</v>
      </c>
      <c r="B26" s="13"/>
      <c r="C26" s="13"/>
      <c r="D26" s="13"/>
    </row>
    <row r="27" spans="1:4" x14ac:dyDescent="0.25">
      <c r="A27" s="3" t="s">
        <v>85</v>
      </c>
      <c r="B27" s="3" t="s">
        <v>86</v>
      </c>
      <c r="C27" s="3" t="s">
        <v>87</v>
      </c>
      <c r="D27" s="3" t="s">
        <v>88</v>
      </c>
    </row>
    <row r="28" spans="1:4" x14ac:dyDescent="0.25">
      <c r="A28" s="3" t="s">
        <v>89</v>
      </c>
      <c r="B28" s="3">
        <v>0.3</v>
      </c>
      <c r="C28" s="3" t="s">
        <v>90</v>
      </c>
      <c r="D28" s="3" t="s">
        <v>91</v>
      </c>
    </row>
    <row r="29" spans="1:4" x14ac:dyDescent="0.25">
      <c r="A29" s="3" t="s">
        <v>92</v>
      </c>
      <c r="B29" s="3">
        <v>0.1</v>
      </c>
      <c r="C29" s="3" t="s">
        <v>90</v>
      </c>
      <c r="D29" s="3" t="s">
        <v>93</v>
      </c>
    </row>
    <row r="30" spans="1:4" ht="30" x14ac:dyDescent="0.25">
      <c r="A30" s="3" t="s">
        <v>94</v>
      </c>
      <c r="B30" s="3">
        <v>15</v>
      </c>
      <c r="C30" s="3" t="s">
        <v>48</v>
      </c>
      <c r="D30" s="3" t="s">
        <v>95</v>
      </c>
    </row>
    <row r="31" spans="1:4" ht="30" x14ac:dyDescent="0.25">
      <c r="A31" s="3" t="s">
        <v>96</v>
      </c>
      <c r="B31" s="3">
        <v>2</v>
      </c>
      <c r="C31" s="3" t="s">
        <v>97</v>
      </c>
      <c r="D31" s="3" t="s">
        <v>98</v>
      </c>
    </row>
    <row r="32" spans="1:4" ht="30" x14ac:dyDescent="0.25">
      <c r="A32" s="3" t="s">
        <v>99</v>
      </c>
      <c r="B32" s="3">
        <v>1</v>
      </c>
      <c r="C32" s="3" t="s">
        <v>100</v>
      </c>
      <c r="D32" s="3" t="s">
        <v>101</v>
      </c>
    </row>
  </sheetData>
  <mergeCells count="4">
    <mergeCell ref="A2:D2"/>
    <mergeCell ref="A10:D10"/>
    <mergeCell ref="A17:D17"/>
    <mergeCell ref="A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workbookViewId="0">
      <selection activeCell="G1" sqref="G1:G1048576"/>
    </sheetView>
  </sheetViews>
  <sheetFormatPr defaultRowHeight="15" x14ac:dyDescent="0.25"/>
  <cols>
    <col min="1" max="1" width="29.7109375" style="3" customWidth="1"/>
    <col min="2" max="2" width="27" style="3" customWidth="1"/>
    <col min="3" max="3" width="21.7109375" style="11" customWidth="1"/>
    <col min="4" max="4" width="18.28515625" style="5" customWidth="1"/>
    <col min="5" max="5" width="13" style="7" customWidth="1"/>
    <col min="6" max="6" width="15.7109375" style="9" customWidth="1"/>
    <col min="7" max="7" width="50" style="11" customWidth="1"/>
    <col min="8" max="11" width="9.140625" style="3"/>
  </cols>
  <sheetData>
    <row r="1" spans="1:7" ht="30" x14ac:dyDescent="0.25">
      <c r="A1" s="2" t="s">
        <v>21</v>
      </c>
      <c r="B1" s="2" t="s">
        <v>102</v>
      </c>
      <c r="C1" s="10" t="s">
        <v>23</v>
      </c>
      <c r="D1" s="4" t="s">
        <v>103</v>
      </c>
      <c r="E1" s="2" t="s">
        <v>71</v>
      </c>
      <c r="F1" s="8" t="s">
        <v>104</v>
      </c>
      <c r="G1" s="10" t="s">
        <v>3</v>
      </c>
    </row>
    <row r="2" spans="1:7" x14ac:dyDescent="0.25">
      <c r="A2" s="3" t="s">
        <v>105</v>
      </c>
      <c r="B2" s="3" t="s">
        <v>106</v>
      </c>
      <c r="C2" s="11" t="s">
        <v>107</v>
      </c>
      <c r="D2" s="5">
        <v>2.4861100000000002E-5</v>
      </c>
      <c r="E2" s="7" t="s">
        <v>70</v>
      </c>
      <c r="F2" s="9" t="s">
        <v>108</v>
      </c>
      <c r="G2" s="11" t="s">
        <v>109</v>
      </c>
    </row>
    <row r="3" spans="1:7" x14ac:dyDescent="0.25">
      <c r="A3" s="3" t="s">
        <v>105</v>
      </c>
      <c r="B3" s="3" t="s">
        <v>110</v>
      </c>
      <c r="C3" s="11" t="s">
        <v>111</v>
      </c>
      <c r="D3" s="5">
        <v>2.6249999999999999E-6</v>
      </c>
      <c r="E3" s="7" t="s">
        <v>70</v>
      </c>
      <c r="F3" s="9" t="s">
        <v>108</v>
      </c>
      <c r="G3" s="11" t="s">
        <v>112</v>
      </c>
    </row>
    <row r="4" spans="1:7" x14ac:dyDescent="0.25">
      <c r="A4" s="3" t="s">
        <v>113</v>
      </c>
      <c r="B4" s="3" t="s">
        <v>106</v>
      </c>
      <c r="C4" s="11" t="s">
        <v>107</v>
      </c>
      <c r="D4" s="5">
        <v>2.4861100000000002E-5</v>
      </c>
      <c r="E4" s="7" t="s">
        <v>70</v>
      </c>
      <c r="F4" s="9" t="s">
        <v>108</v>
      </c>
      <c r="G4" s="11" t="s">
        <v>114</v>
      </c>
    </row>
    <row r="5" spans="1:7" x14ac:dyDescent="0.25">
      <c r="A5" s="3" t="s">
        <v>113</v>
      </c>
      <c r="B5" s="3" t="s">
        <v>110</v>
      </c>
      <c r="C5" s="11" t="s">
        <v>111</v>
      </c>
      <c r="D5" s="5">
        <v>2.6249999999999999E-6</v>
      </c>
      <c r="E5" s="7" t="s">
        <v>70</v>
      </c>
      <c r="F5" s="9" t="s">
        <v>108</v>
      </c>
      <c r="G5" s="11" t="s">
        <v>114</v>
      </c>
    </row>
    <row r="6" spans="1:7" x14ac:dyDescent="0.25">
      <c r="A6" s="3" t="s">
        <v>115</v>
      </c>
      <c r="B6" s="3" t="s">
        <v>106</v>
      </c>
      <c r="C6" s="11" t="s">
        <v>107</v>
      </c>
      <c r="D6" s="5">
        <v>2.4861100000000002E-5</v>
      </c>
      <c r="E6" s="7" t="s">
        <v>70</v>
      </c>
      <c r="F6" s="9" t="s">
        <v>108</v>
      </c>
      <c r="G6" s="11" t="s">
        <v>114</v>
      </c>
    </row>
    <row r="7" spans="1:7" x14ac:dyDescent="0.25">
      <c r="A7" s="3" t="s">
        <v>115</v>
      </c>
      <c r="B7" s="3" t="s">
        <v>110</v>
      </c>
      <c r="C7" s="11" t="s">
        <v>111</v>
      </c>
      <c r="D7" s="5">
        <v>2.6249999999999999E-6</v>
      </c>
      <c r="E7" s="7" t="s">
        <v>70</v>
      </c>
      <c r="F7" s="9" t="s">
        <v>108</v>
      </c>
      <c r="G7" s="11" t="s">
        <v>114</v>
      </c>
    </row>
    <row r="8" spans="1:7" x14ac:dyDescent="0.25">
      <c r="A8" s="3" t="s">
        <v>116</v>
      </c>
      <c r="B8" s="3" t="s">
        <v>117</v>
      </c>
      <c r="C8" s="11" t="s">
        <v>118</v>
      </c>
      <c r="D8" s="5">
        <v>1E-3</v>
      </c>
      <c r="E8" s="7" t="s">
        <v>70</v>
      </c>
      <c r="F8" s="9" t="s">
        <v>108</v>
      </c>
      <c r="G8" s="11" t="s">
        <v>119</v>
      </c>
    </row>
    <row r="9" spans="1:7" x14ac:dyDescent="0.25">
      <c r="A9" s="3" t="s">
        <v>116</v>
      </c>
      <c r="B9" s="3" t="s">
        <v>120</v>
      </c>
      <c r="C9" s="11" t="s">
        <v>121</v>
      </c>
      <c r="D9" s="5">
        <v>1E-3</v>
      </c>
      <c r="E9" s="7" t="s">
        <v>70</v>
      </c>
      <c r="F9" s="9" t="s">
        <v>108</v>
      </c>
      <c r="G9" s="11" t="s">
        <v>122</v>
      </c>
    </row>
    <row r="10" spans="1:7" x14ac:dyDescent="0.25">
      <c r="A10" s="3" t="s">
        <v>116</v>
      </c>
      <c r="B10" s="3" t="s">
        <v>123</v>
      </c>
      <c r="C10" s="11" t="s">
        <v>124</v>
      </c>
      <c r="D10" s="5">
        <v>1E-3</v>
      </c>
      <c r="E10" s="7" t="s">
        <v>70</v>
      </c>
      <c r="F10" s="9" t="s">
        <v>108</v>
      </c>
      <c r="G10" s="11" t="s">
        <v>125</v>
      </c>
    </row>
    <row r="11" spans="1:7" x14ac:dyDescent="0.25">
      <c r="A11" s="3" t="s">
        <v>126</v>
      </c>
      <c r="B11" s="3" t="s">
        <v>127</v>
      </c>
      <c r="C11" s="11" t="s">
        <v>128</v>
      </c>
      <c r="D11" s="5">
        <v>0.5</v>
      </c>
      <c r="E11" s="7" t="s">
        <v>70</v>
      </c>
      <c r="F11" s="9" t="s">
        <v>108</v>
      </c>
      <c r="G11" s="11" t="s">
        <v>129</v>
      </c>
    </row>
    <row r="12" spans="1:7" x14ac:dyDescent="0.25">
      <c r="A12" s="3" t="s">
        <v>126</v>
      </c>
      <c r="B12" s="3" t="s">
        <v>130</v>
      </c>
      <c r="C12" s="11" t="s">
        <v>131</v>
      </c>
      <c r="D12" s="5">
        <v>0.03</v>
      </c>
      <c r="E12" s="7" t="s">
        <v>70</v>
      </c>
      <c r="F12" s="9" t="s">
        <v>108</v>
      </c>
      <c r="G12" s="11" t="s">
        <v>132</v>
      </c>
    </row>
    <row r="13" spans="1:7" x14ac:dyDescent="0.25">
      <c r="A13" s="3" t="s">
        <v>126</v>
      </c>
      <c r="B13" s="3" t="s">
        <v>133</v>
      </c>
      <c r="C13" s="11" t="s">
        <v>134</v>
      </c>
      <c r="D13" s="5">
        <v>5.0000000000000001E-3</v>
      </c>
      <c r="E13" s="7" t="s">
        <v>70</v>
      </c>
      <c r="F13" s="9" t="s">
        <v>108</v>
      </c>
      <c r="G13" s="11" t="s">
        <v>135</v>
      </c>
    </row>
    <row r="14" spans="1:7" x14ac:dyDescent="0.25">
      <c r="A14" s="3" t="s">
        <v>136</v>
      </c>
      <c r="B14" s="3" t="s">
        <v>137</v>
      </c>
      <c r="C14" s="11" t="s">
        <v>138</v>
      </c>
      <c r="D14" s="5">
        <v>3.0000000000000001E-3</v>
      </c>
      <c r="E14" s="7" t="s">
        <v>70</v>
      </c>
      <c r="F14" s="9" t="s">
        <v>108</v>
      </c>
      <c r="G14" s="11" t="s">
        <v>139</v>
      </c>
    </row>
    <row r="15" spans="1:7" x14ac:dyDescent="0.25">
      <c r="A15" s="3" t="s">
        <v>136</v>
      </c>
      <c r="B15" s="3" t="s">
        <v>140</v>
      </c>
      <c r="C15" s="11" t="s">
        <v>138</v>
      </c>
      <c r="D15" s="5">
        <v>1.4999999999999999E-2</v>
      </c>
      <c r="E15" s="7" t="s">
        <v>70</v>
      </c>
      <c r="F15" s="9" t="s">
        <v>108</v>
      </c>
      <c r="G15" s="11" t="s">
        <v>141</v>
      </c>
    </row>
    <row r="16" spans="1:7" x14ac:dyDescent="0.25">
      <c r="A16" s="3" t="s">
        <v>142</v>
      </c>
      <c r="B16" s="3" t="s">
        <v>137</v>
      </c>
      <c r="C16" s="11" t="s">
        <v>138</v>
      </c>
      <c r="D16" s="5">
        <v>2.5000000000000001E-4</v>
      </c>
      <c r="E16" s="7" t="s">
        <v>70</v>
      </c>
      <c r="F16" s="9" t="s">
        <v>108</v>
      </c>
      <c r="G16" s="11" t="s">
        <v>143</v>
      </c>
    </row>
    <row r="17" spans="1:7" x14ac:dyDescent="0.25">
      <c r="A17" s="3" t="s">
        <v>142</v>
      </c>
      <c r="B17" s="3" t="s">
        <v>140</v>
      </c>
      <c r="C17" s="11" t="s">
        <v>138</v>
      </c>
      <c r="D17" s="5">
        <v>1.25E-3</v>
      </c>
      <c r="E17" s="7" t="s">
        <v>70</v>
      </c>
      <c r="F17" s="9" t="s">
        <v>108</v>
      </c>
      <c r="G17" s="11" t="s">
        <v>143</v>
      </c>
    </row>
    <row r="18" spans="1:7" x14ac:dyDescent="0.25">
      <c r="A18" s="3" t="s">
        <v>144</v>
      </c>
      <c r="B18" s="3" t="s">
        <v>137</v>
      </c>
      <c r="C18" s="11" t="s">
        <v>138</v>
      </c>
      <c r="D18" s="5">
        <v>1.4999999999999999E-2</v>
      </c>
      <c r="E18" s="7" t="s">
        <v>70</v>
      </c>
      <c r="F18" s="9" t="s">
        <v>108</v>
      </c>
      <c r="G18" s="11" t="s">
        <v>145</v>
      </c>
    </row>
    <row r="19" spans="1:7" x14ac:dyDescent="0.25">
      <c r="A19" s="3" t="s">
        <v>144</v>
      </c>
      <c r="B19" s="3" t="s">
        <v>140</v>
      </c>
      <c r="C19" s="11" t="s">
        <v>138</v>
      </c>
      <c r="D19" s="5">
        <v>7.4999999999999997E-2</v>
      </c>
      <c r="E19" s="7" t="s">
        <v>70</v>
      </c>
      <c r="F19" s="9" t="s">
        <v>108</v>
      </c>
      <c r="G19" s="11" t="s">
        <v>145</v>
      </c>
    </row>
    <row r="20" spans="1:7" x14ac:dyDescent="0.25">
      <c r="A20" s="3" t="s">
        <v>146</v>
      </c>
      <c r="B20" s="3" t="s">
        <v>137</v>
      </c>
      <c r="C20" s="11" t="s">
        <v>138</v>
      </c>
      <c r="D20" s="5">
        <v>9.8999999999999999E-4</v>
      </c>
      <c r="E20" s="7" t="s">
        <v>70</v>
      </c>
      <c r="F20" s="9" t="s">
        <v>108</v>
      </c>
      <c r="G20" s="11" t="s">
        <v>147</v>
      </c>
    </row>
    <row r="21" spans="1:7" x14ac:dyDescent="0.25">
      <c r="A21" s="3" t="s">
        <v>146</v>
      </c>
      <c r="B21" s="3" t="s">
        <v>140</v>
      </c>
      <c r="C21" s="11" t="s">
        <v>138</v>
      </c>
      <c r="D21" s="5">
        <v>9.8999999999999999E-4</v>
      </c>
      <c r="E21" s="7" t="s">
        <v>70</v>
      </c>
      <c r="F21" s="9" t="s">
        <v>108</v>
      </c>
      <c r="G21" s="11" t="s">
        <v>147</v>
      </c>
    </row>
    <row r="22" spans="1:7" x14ac:dyDescent="0.25">
      <c r="A22" s="3" t="s">
        <v>148</v>
      </c>
      <c r="B22" s="3" t="s">
        <v>137</v>
      </c>
      <c r="C22" s="11" t="s">
        <v>138</v>
      </c>
      <c r="D22" s="5">
        <v>2.2000000000000001E-4</v>
      </c>
      <c r="E22" s="7" t="s">
        <v>70</v>
      </c>
      <c r="F22" s="9" t="s">
        <v>108</v>
      </c>
      <c r="G22" s="11" t="s">
        <v>149</v>
      </c>
    </row>
    <row r="23" spans="1:7" x14ac:dyDescent="0.25">
      <c r="A23" s="3" t="s">
        <v>148</v>
      </c>
      <c r="B23" s="3" t="s">
        <v>140</v>
      </c>
      <c r="C23" s="11" t="s">
        <v>138</v>
      </c>
      <c r="D23" s="5">
        <v>2.2000000000000001E-4</v>
      </c>
      <c r="E23" s="7" t="s">
        <v>70</v>
      </c>
      <c r="F23" s="9" t="s">
        <v>108</v>
      </c>
      <c r="G23" s="11" t="s">
        <v>149</v>
      </c>
    </row>
    <row r="24" spans="1:7" x14ac:dyDescent="0.25">
      <c r="A24" s="3" t="s">
        <v>150</v>
      </c>
      <c r="B24" s="3" t="s">
        <v>151</v>
      </c>
      <c r="C24" s="11" t="s">
        <v>152</v>
      </c>
      <c r="D24" s="5">
        <v>1.04E-2</v>
      </c>
      <c r="E24" s="7" t="s">
        <v>70</v>
      </c>
      <c r="F24" s="9" t="s">
        <v>108</v>
      </c>
      <c r="G24" s="11" t="s">
        <v>153</v>
      </c>
    </row>
    <row r="25" spans="1:7" x14ac:dyDescent="0.25">
      <c r="A25" s="3" t="s">
        <v>154</v>
      </c>
      <c r="B25" s="3" t="s">
        <v>151</v>
      </c>
      <c r="C25" s="11" t="s">
        <v>152</v>
      </c>
      <c r="D25" s="5">
        <v>2.0799999999999999E-2</v>
      </c>
      <c r="E25" s="7" t="s">
        <v>70</v>
      </c>
      <c r="F25" s="9" t="s">
        <v>108</v>
      </c>
      <c r="G25" s="11" t="s">
        <v>153</v>
      </c>
    </row>
    <row r="26" spans="1:7" x14ac:dyDescent="0.25">
      <c r="A26" s="3" t="s">
        <v>155</v>
      </c>
      <c r="B26" s="3" t="s">
        <v>151</v>
      </c>
      <c r="C26" s="11" t="s">
        <v>152</v>
      </c>
      <c r="D26" s="5">
        <v>4.1599999999999998E-2</v>
      </c>
      <c r="E26" s="7" t="s">
        <v>70</v>
      </c>
      <c r="F26" s="9" t="s">
        <v>108</v>
      </c>
      <c r="G26" s="11" t="s">
        <v>153</v>
      </c>
    </row>
    <row r="27" spans="1:7" x14ac:dyDescent="0.25">
      <c r="A27" s="3" t="s">
        <v>156</v>
      </c>
      <c r="B27" s="3" t="s">
        <v>151</v>
      </c>
      <c r="C27" s="11" t="s">
        <v>152</v>
      </c>
      <c r="D27" s="5">
        <v>8.3199999999999996E-2</v>
      </c>
      <c r="E27" s="7" t="s">
        <v>70</v>
      </c>
      <c r="F27" s="9" t="s">
        <v>108</v>
      </c>
      <c r="G27" s="11" t="s">
        <v>153</v>
      </c>
    </row>
    <row r="28" spans="1:7" x14ac:dyDescent="0.25">
      <c r="A28" s="3" t="s">
        <v>157</v>
      </c>
      <c r="B28" s="3" t="s">
        <v>151</v>
      </c>
      <c r="C28" s="11" t="s">
        <v>152</v>
      </c>
      <c r="D28" s="5">
        <v>8.3999999999999995E-3</v>
      </c>
      <c r="E28" s="7" t="s">
        <v>70</v>
      </c>
      <c r="F28" s="9" t="s">
        <v>108</v>
      </c>
      <c r="G28" s="11" t="s">
        <v>158</v>
      </c>
    </row>
    <row r="29" spans="1:7" x14ac:dyDescent="0.25">
      <c r="A29" s="3" t="s">
        <v>159</v>
      </c>
      <c r="B29" s="3" t="s">
        <v>151</v>
      </c>
      <c r="C29" s="11" t="s">
        <v>152</v>
      </c>
      <c r="D29" s="5">
        <v>1.6799999999999999E-2</v>
      </c>
      <c r="E29" s="7" t="s">
        <v>70</v>
      </c>
      <c r="F29" s="9" t="s">
        <v>108</v>
      </c>
      <c r="G29" s="11" t="s">
        <v>158</v>
      </c>
    </row>
    <row r="30" spans="1:7" x14ac:dyDescent="0.25">
      <c r="A30" s="3" t="s">
        <v>160</v>
      </c>
      <c r="B30" s="3" t="s">
        <v>161</v>
      </c>
      <c r="C30" s="11" t="s">
        <v>162</v>
      </c>
      <c r="D30" s="5">
        <v>0.2</v>
      </c>
      <c r="E30" s="7" t="s">
        <v>70</v>
      </c>
      <c r="F30" s="9" t="s">
        <v>108</v>
      </c>
      <c r="G30" s="11" t="s">
        <v>163</v>
      </c>
    </row>
    <row r="31" spans="1:7" x14ac:dyDescent="0.25">
      <c r="A31" s="3" t="s">
        <v>164</v>
      </c>
      <c r="B31" s="3" t="s">
        <v>165</v>
      </c>
      <c r="C31" s="11" t="s">
        <v>111</v>
      </c>
      <c r="D31" s="5">
        <v>1.6666700000000001E-5</v>
      </c>
      <c r="E31" s="7" t="s">
        <v>70</v>
      </c>
      <c r="F31" s="9" t="s">
        <v>108</v>
      </c>
      <c r="G31" s="11" t="s">
        <v>166</v>
      </c>
    </row>
    <row r="32" spans="1:7" x14ac:dyDescent="0.25">
      <c r="A32" s="3" t="s">
        <v>167</v>
      </c>
      <c r="B32" s="3" t="s">
        <v>165</v>
      </c>
      <c r="C32" s="11" t="s">
        <v>111</v>
      </c>
      <c r="D32" s="5">
        <v>1.33334E-5</v>
      </c>
      <c r="E32" s="7" t="s">
        <v>70</v>
      </c>
      <c r="F32" s="9" t="s">
        <v>108</v>
      </c>
      <c r="G32" s="11" t="s">
        <v>168</v>
      </c>
    </row>
    <row r="33" spans="1:7" x14ac:dyDescent="0.25">
      <c r="A33" s="3" t="s">
        <v>169</v>
      </c>
      <c r="B33" s="3" t="s">
        <v>170</v>
      </c>
      <c r="C33" s="11" t="s">
        <v>131</v>
      </c>
      <c r="D33" s="5">
        <v>2.3E-2</v>
      </c>
      <c r="E33" s="7" t="s">
        <v>70</v>
      </c>
      <c r="F33" s="9" t="s">
        <v>108</v>
      </c>
      <c r="G33" s="11" t="s">
        <v>171</v>
      </c>
    </row>
    <row r="34" spans="1:7" x14ac:dyDescent="0.25">
      <c r="A34" s="3" t="s">
        <v>172</v>
      </c>
      <c r="B34" s="3" t="s">
        <v>170</v>
      </c>
      <c r="C34" s="11" t="s">
        <v>131</v>
      </c>
      <c r="D34" s="5">
        <v>1.2500000000000001E-2</v>
      </c>
      <c r="E34" s="7" t="s">
        <v>70</v>
      </c>
      <c r="F34" s="9" t="s">
        <v>108</v>
      </c>
      <c r="G34" s="11" t="s">
        <v>173</v>
      </c>
    </row>
    <row r="35" spans="1:7" x14ac:dyDescent="0.25">
      <c r="A35" s="3" t="s">
        <v>174</v>
      </c>
      <c r="B35" s="3" t="s">
        <v>161</v>
      </c>
      <c r="C35" s="11" t="s">
        <v>175</v>
      </c>
      <c r="D35" s="5">
        <v>4.0000000000000002E-4</v>
      </c>
      <c r="E35" s="7" t="s">
        <v>70</v>
      </c>
      <c r="F35" s="9" t="s">
        <v>108</v>
      </c>
      <c r="G35" s="11" t="s">
        <v>176</v>
      </c>
    </row>
    <row r="36" spans="1:7" x14ac:dyDescent="0.25">
      <c r="A36" s="3" t="s">
        <v>177</v>
      </c>
      <c r="B36" s="3" t="s">
        <v>161</v>
      </c>
      <c r="C36" s="11" t="s">
        <v>175</v>
      </c>
      <c r="D36" s="5">
        <v>5.0000000000000001E-3</v>
      </c>
      <c r="E36" s="7" t="s">
        <v>70</v>
      </c>
      <c r="F36" s="9" t="s">
        <v>108</v>
      </c>
      <c r="G36" s="11" t="s">
        <v>178</v>
      </c>
    </row>
    <row r="37" spans="1:7" x14ac:dyDescent="0.25">
      <c r="A37" s="3" t="s">
        <v>179</v>
      </c>
      <c r="B37" s="3" t="s">
        <v>180</v>
      </c>
      <c r="C37" s="11" t="s">
        <v>181</v>
      </c>
      <c r="D37" s="5">
        <v>0.25</v>
      </c>
      <c r="E37" s="7" t="s">
        <v>70</v>
      </c>
      <c r="F37" s="9" t="s">
        <v>108</v>
      </c>
      <c r="G37" s="11" t="s">
        <v>182</v>
      </c>
    </row>
    <row r="38" spans="1:7" x14ac:dyDescent="0.25">
      <c r="A38" s="3" t="s">
        <v>183</v>
      </c>
      <c r="B38" s="3" t="s">
        <v>184</v>
      </c>
      <c r="C38" s="11" t="s">
        <v>185</v>
      </c>
      <c r="D38" s="5">
        <v>1.25</v>
      </c>
      <c r="E38" s="7" t="s">
        <v>70</v>
      </c>
      <c r="F38" s="9" t="s">
        <v>108</v>
      </c>
      <c r="G38" s="11" t="s">
        <v>182</v>
      </c>
    </row>
    <row r="39" spans="1:7" x14ac:dyDescent="0.25">
      <c r="A39" s="3" t="s">
        <v>186</v>
      </c>
      <c r="B39" s="3" t="s">
        <v>170</v>
      </c>
      <c r="C39" s="11" t="s">
        <v>131</v>
      </c>
      <c r="D39" s="5">
        <v>0.25</v>
      </c>
      <c r="E39" s="7" t="s">
        <v>70</v>
      </c>
      <c r="F39" s="9" t="s">
        <v>108</v>
      </c>
      <c r="G39" s="11" t="s">
        <v>187</v>
      </c>
    </row>
    <row r="40" spans="1:7" x14ac:dyDescent="0.25">
      <c r="A40" s="3" t="s">
        <v>188</v>
      </c>
      <c r="B40" s="3" t="s">
        <v>189</v>
      </c>
      <c r="C40" s="11" t="s">
        <v>190</v>
      </c>
      <c r="D40" s="5">
        <v>0.3</v>
      </c>
      <c r="E40" s="7" t="s">
        <v>70</v>
      </c>
      <c r="F40" s="9" t="s">
        <v>108</v>
      </c>
      <c r="G40" s="11" t="s">
        <v>191</v>
      </c>
    </row>
    <row r="41" spans="1:7" x14ac:dyDescent="0.25">
      <c r="A41" s="3" t="s">
        <v>192</v>
      </c>
      <c r="B41" s="3" t="s">
        <v>127</v>
      </c>
      <c r="C41" s="11" t="s">
        <v>128</v>
      </c>
      <c r="D41" s="5">
        <v>0.5</v>
      </c>
      <c r="E41" s="7" t="s">
        <v>70</v>
      </c>
      <c r="F41" s="9" t="s">
        <v>108</v>
      </c>
      <c r="G41" s="11" t="s">
        <v>193</v>
      </c>
    </row>
    <row r="42" spans="1:7" x14ac:dyDescent="0.25">
      <c r="A42" s="3" t="s">
        <v>194</v>
      </c>
      <c r="B42" s="3" t="s">
        <v>130</v>
      </c>
      <c r="C42" s="11" t="s">
        <v>131</v>
      </c>
      <c r="D42" s="5">
        <v>0.03</v>
      </c>
      <c r="E42" s="7" t="s">
        <v>70</v>
      </c>
      <c r="F42" s="9" t="s">
        <v>108</v>
      </c>
      <c r="G42" s="11" t="s">
        <v>195</v>
      </c>
    </row>
    <row r="43" spans="1:7" x14ac:dyDescent="0.25">
      <c r="A43" s="3" t="s">
        <v>196</v>
      </c>
      <c r="B43" s="3" t="s">
        <v>197</v>
      </c>
      <c r="C43" s="11" t="s">
        <v>198</v>
      </c>
      <c r="D43" s="5">
        <v>3</v>
      </c>
      <c r="E43" s="7" t="s">
        <v>70</v>
      </c>
      <c r="F43" s="9" t="s">
        <v>108</v>
      </c>
      <c r="G43" s="11" t="s">
        <v>199</v>
      </c>
    </row>
    <row r="44" spans="1:7" x14ac:dyDescent="0.25">
      <c r="A44" s="3" t="s">
        <v>200</v>
      </c>
      <c r="B44" s="3" t="s">
        <v>201</v>
      </c>
      <c r="C44" s="11" t="s">
        <v>152</v>
      </c>
      <c r="D44" s="5">
        <v>4.4999999999999998E-2</v>
      </c>
      <c r="E44" s="7" t="s">
        <v>70</v>
      </c>
      <c r="F44" s="9" t="s">
        <v>108</v>
      </c>
      <c r="G44" s="11" t="s">
        <v>202</v>
      </c>
    </row>
    <row r="45" spans="1:7" x14ac:dyDescent="0.25">
      <c r="A45" s="3" t="s">
        <v>203</v>
      </c>
      <c r="B45" s="3" t="s">
        <v>204</v>
      </c>
      <c r="C45" s="11" t="s">
        <v>128</v>
      </c>
      <c r="D45" s="5">
        <v>4.4999999999999998E-2</v>
      </c>
      <c r="E45" s="7" t="s">
        <v>70</v>
      </c>
      <c r="F45" s="9" t="s">
        <v>108</v>
      </c>
      <c r="G45" s="11" t="s">
        <v>205</v>
      </c>
    </row>
    <row r="46" spans="1:7" x14ac:dyDescent="0.25">
      <c r="A46" s="3" t="s">
        <v>206</v>
      </c>
      <c r="B46" s="3" t="s">
        <v>207</v>
      </c>
      <c r="C46" s="11" t="s">
        <v>128</v>
      </c>
      <c r="D46" s="5">
        <v>0</v>
      </c>
      <c r="E46" s="7" t="s">
        <v>70</v>
      </c>
      <c r="F46" s="9" t="s">
        <v>108</v>
      </c>
      <c r="G46" s="11" t="s">
        <v>208</v>
      </c>
    </row>
    <row r="47" spans="1:7" x14ac:dyDescent="0.25">
      <c r="A47" s="3" t="s">
        <v>209</v>
      </c>
      <c r="B47" s="3" t="s">
        <v>207</v>
      </c>
      <c r="C47" s="11" t="s">
        <v>128</v>
      </c>
      <c r="D47" s="5">
        <v>0.01</v>
      </c>
      <c r="E47" s="7" t="s">
        <v>70</v>
      </c>
      <c r="F47" s="9" t="s">
        <v>108</v>
      </c>
      <c r="G47" s="11" t="s">
        <v>210</v>
      </c>
    </row>
    <row r="48" spans="1:7" x14ac:dyDescent="0.25">
      <c r="A48" s="3" t="s">
        <v>211</v>
      </c>
      <c r="B48" s="3" t="s">
        <v>207</v>
      </c>
      <c r="C48" s="11" t="s">
        <v>128</v>
      </c>
      <c r="D48" s="5">
        <v>0.02</v>
      </c>
      <c r="E48" s="7" t="s">
        <v>70</v>
      </c>
      <c r="F48" s="9" t="s">
        <v>108</v>
      </c>
      <c r="G48" s="11" t="s">
        <v>212</v>
      </c>
    </row>
    <row r="49" spans="1:7" x14ac:dyDescent="0.25">
      <c r="A49" s="3" t="s">
        <v>213</v>
      </c>
      <c r="B49" s="3" t="s">
        <v>207</v>
      </c>
      <c r="C49" s="11" t="s">
        <v>128</v>
      </c>
      <c r="D49" s="5">
        <v>0.09</v>
      </c>
      <c r="E49" s="7" t="s">
        <v>70</v>
      </c>
      <c r="F49" s="9" t="s">
        <v>108</v>
      </c>
      <c r="G49" s="11" t="s">
        <v>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topLeftCell="A5" workbookViewId="0">
      <selection activeCell="D13" sqref="D13"/>
    </sheetView>
  </sheetViews>
  <sheetFormatPr defaultRowHeight="15" x14ac:dyDescent="0.25"/>
  <cols>
    <col min="1" max="1" width="25.28515625" style="3" customWidth="1"/>
    <col min="2" max="2" width="24" style="3" customWidth="1"/>
    <col min="3" max="3" width="12.7109375" style="3" customWidth="1"/>
    <col min="4" max="4" width="22.42578125" style="3" customWidth="1"/>
    <col min="5" max="5" width="13.42578125" style="3" customWidth="1"/>
    <col min="6" max="6" width="16.5703125" style="3" customWidth="1"/>
    <col min="7" max="7" width="16.85546875" style="3" customWidth="1"/>
    <col min="8" max="8" width="9.140625" style="3"/>
  </cols>
  <sheetData>
    <row r="1" spans="1:7" ht="30" x14ac:dyDescent="0.25">
      <c r="A1" s="2" t="s">
        <v>215</v>
      </c>
      <c r="B1" s="2" t="s">
        <v>102</v>
      </c>
      <c r="C1" s="2" t="s">
        <v>216</v>
      </c>
      <c r="D1" s="2" t="s">
        <v>23</v>
      </c>
      <c r="E1" s="2" t="s">
        <v>217</v>
      </c>
      <c r="F1" s="2" t="s">
        <v>218</v>
      </c>
      <c r="G1" s="2" t="s">
        <v>1</v>
      </c>
    </row>
    <row r="2" spans="1:7" x14ac:dyDescent="0.25">
      <c r="A2" s="3" t="s">
        <v>4</v>
      </c>
      <c r="B2" s="3" t="s">
        <v>105</v>
      </c>
      <c r="C2" s="3" t="e">
        <f>Assumptions!#REF!*Assumptions!B3*Assumptions!B4*Assumptions!B5</f>
        <v>#REF!</v>
      </c>
      <c r="D2" s="3" t="s">
        <v>219</v>
      </c>
      <c r="E2" s="3" t="str">
        <f t="shared" ref="E2:E9" si="0">C1</f>
        <v>Quantity</v>
      </c>
      <c r="F2" s="3" t="e">
        <f>([1]AWS_Pricing!E1*Assumptions!B17+[1]AWS_Pricing!E2*Assumptions!#REF!)*Assumptions!B6</f>
        <v>#REF!</v>
      </c>
      <c r="G2" s="3" t="e">
        <f t="shared" ref="G2:G17" si="1">D1*E1</f>
        <v>#VALUE!</v>
      </c>
    </row>
    <row r="3" spans="1:7" x14ac:dyDescent="0.25">
      <c r="A3" s="3" t="s">
        <v>4</v>
      </c>
      <c r="B3" s="3" t="s">
        <v>113</v>
      </c>
      <c r="C3" s="3" t="e">
        <f>B1*0.3</f>
        <v>#VALUE!</v>
      </c>
      <c r="D3" s="3" t="s">
        <v>219</v>
      </c>
      <c r="E3" s="3" t="e">
        <f t="shared" si="0"/>
        <v>#REF!</v>
      </c>
      <c r="F3" s="3" t="e">
        <f>([1]AWS_Pricing!E3*Assumptions!B17+[1]AWS_Pricing!E4*Assumptions!#REF!)*Assumptions!B6</f>
        <v>#REF!</v>
      </c>
      <c r="G3" s="3" t="e">
        <f t="shared" si="1"/>
        <v>#VALUE!</v>
      </c>
    </row>
    <row r="4" spans="1:7" ht="30" x14ac:dyDescent="0.25">
      <c r="A4" s="3" t="s">
        <v>4</v>
      </c>
      <c r="B4" s="3" t="s">
        <v>115</v>
      </c>
      <c r="C4" s="3" t="e">
        <f>B1*0.2</f>
        <v>#VALUE!</v>
      </c>
      <c r="D4" s="3" t="s">
        <v>219</v>
      </c>
      <c r="E4" s="3" t="e">
        <f t="shared" si="0"/>
        <v>#VALUE!</v>
      </c>
      <c r="F4" s="3" t="e">
        <f>([1]AWS_Pricing!E5*Assumptions!B17+[1]AWS_Pricing!E6*Assumptions!#REF!)*Assumptions!B6</f>
        <v>#REF!</v>
      </c>
      <c r="G4" s="3" t="e">
        <f t="shared" si="1"/>
        <v>#VALUE!</v>
      </c>
    </row>
    <row r="5" spans="1:7" x14ac:dyDescent="0.25">
      <c r="A5" s="3" t="s">
        <v>4</v>
      </c>
      <c r="B5" s="3" t="s">
        <v>116</v>
      </c>
      <c r="C5" s="3" t="e">
        <f>B1*100</f>
        <v>#VALUE!</v>
      </c>
      <c r="D5" s="3" t="s">
        <v>220</v>
      </c>
      <c r="E5" s="3" t="e">
        <f t="shared" si="0"/>
        <v>#VALUE!</v>
      </c>
      <c r="F5" s="3" t="s">
        <v>221</v>
      </c>
      <c r="G5" s="3" t="e">
        <f t="shared" si="1"/>
        <v>#VALUE!</v>
      </c>
    </row>
    <row r="6" spans="1:7" x14ac:dyDescent="0.25">
      <c r="A6" s="3" t="s">
        <v>222</v>
      </c>
      <c r="B6" s="3" t="s">
        <v>47</v>
      </c>
      <c r="C6" s="3" t="e">
        <f>Assumptions!#REF!/100</f>
        <v>#REF!</v>
      </c>
      <c r="D6" s="3" t="s">
        <v>223</v>
      </c>
      <c r="E6" s="3" t="e">
        <f t="shared" si="0"/>
        <v>#VALUE!</v>
      </c>
      <c r="F6" s="3" t="e">
        <f>([1]AWS_Pricing!E13*Assumptions!B14+[1]AWS_Pricing!E14*Assumptions!B15)*C1/1000</f>
        <v>#REF!</v>
      </c>
      <c r="G6" s="3" t="e">
        <f t="shared" si="1"/>
        <v>#VALUE!</v>
      </c>
    </row>
    <row r="7" spans="1:7" x14ac:dyDescent="0.25">
      <c r="A7" s="3" t="s">
        <v>222</v>
      </c>
      <c r="B7" s="3" t="s">
        <v>50</v>
      </c>
      <c r="C7" s="3">
        <f>Assumptions!B11/100</f>
        <v>0.4</v>
      </c>
      <c r="D7" s="3" t="s">
        <v>223</v>
      </c>
      <c r="E7" s="3" t="e">
        <f t="shared" si="0"/>
        <v>#REF!</v>
      </c>
      <c r="F7" s="3" t="e">
        <f>([1]AWS_Pricing!E15*Assumptions!B14+[1]AWS_Pricing!E16*Assumptions!B15)*C1/1000</f>
        <v>#REF!</v>
      </c>
      <c r="G7" s="3" t="e">
        <f t="shared" si="1"/>
        <v>#VALUE!</v>
      </c>
    </row>
    <row r="8" spans="1:7" x14ac:dyDescent="0.25">
      <c r="A8" s="3" t="s">
        <v>222</v>
      </c>
      <c r="B8" s="3" t="s">
        <v>51</v>
      </c>
      <c r="C8" s="3">
        <f>Assumptions!B12/100</f>
        <v>0.3</v>
      </c>
      <c r="D8" s="3" t="s">
        <v>223</v>
      </c>
      <c r="E8" s="3">
        <f t="shared" si="0"/>
        <v>0.4</v>
      </c>
      <c r="F8" s="3" t="e">
        <f>([1]AWS_Pricing!E19*Assumptions!B14+[1]AWS_Pricing!E20*Assumptions!B15)*C1/1000</f>
        <v>#REF!</v>
      </c>
      <c r="G8" s="3" t="e">
        <f t="shared" si="1"/>
        <v>#VALUE!</v>
      </c>
    </row>
    <row r="9" spans="1:7" x14ac:dyDescent="0.25">
      <c r="A9" s="3" t="s">
        <v>222</v>
      </c>
      <c r="B9" s="3" t="s">
        <v>52</v>
      </c>
      <c r="C9" s="3">
        <f>Assumptions!B13/100</f>
        <v>0.2</v>
      </c>
      <c r="D9" s="3" t="s">
        <v>223</v>
      </c>
      <c r="E9" s="3">
        <f t="shared" si="0"/>
        <v>0.3</v>
      </c>
      <c r="F9" s="3" t="e">
        <f>([1]AWS_Pricing!E21*Assumptions!B14+[1]AWS_Pricing!E22*Assumptions!B15)*C1/1000</f>
        <v>#REF!</v>
      </c>
      <c r="G9" s="3" t="e">
        <f t="shared" si="1"/>
        <v>#VALUE!</v>
      </c>
    </row>
    <row r="10" spans="1:7" x14ac:dyDescent="0.25">
      <c r="A10" s="3" t="s">
        <v>224</v>
      </c>
      <c r="B10" s="3" t="s">
        <v>155</v>
      </c>
      <c r="C10" s="3">
        <v>2</v>
      </c>
      <c r="D10" s="3" t="s">
        <v>225</v>
      </c>
      <c r="E10" s="3">
        <f>C9*24*Assumptions!B4</f>
        <v>38.400000000000006</v>
      </c>
      <c r="F10" s="3" t="s">
        <v>226</v>
      </c>
      <c r="G10" s="3" t="e">
        <f t="shared" si="1"/>
        <v>#VALUE!</v>
      </c>
    </row>
    <row r="11" spans="1:7" x14ac:dyDescent="0.25">
      <c r="A11" s="3" t="s">
        <v>224</v>
      </c>
      <c r="B11" s="3" t="s">
        <v>159</v>
      </c>
      <c r="C11" s="3">
        <v>1</v>
      </c>
      <c r="D11" s="3" t="s">
        <v>225</v>
      </c>
      <c r="E11" s="3">
        <f>C10*24*Assumptions!B4</f>
        <v>384</v>
      </c>
      <c r="F11" s="3" t="s">
        <v>227</v>
      </c>
      <c r="G11" s="3" t="e">
        <f t="shared" si="1"/>
        <v>#VALUE!</v>
      </c>
    </row>
    <row r="12" spans="1:7" ht="30" x14ac:dyDescent="0.25">
      <c r="A12" s="3" t="s">
        <v>224</v>
      </c>
      <c r="B12" s="3" t="s">
        <v>228</v>
      </c>
      <c r="C12" s="3" t="str">
        <f>B1</f>
        <v>Component</v>
      </c>
      <c r="D12" s="3" t="s">
        <v>229</v>
      </c>
      <c r="E12" s="3">
        <f t="shared" ref="E12:E22" si="2">C11</f>
        <v>1</v>
      </c>
      <c r="F12" s="3" t="s">
        <v>230</v>
      </c>
      <c r="G12" s="3" t="e">
        <f t="shared" si="1"/>
        <v>#VALUE!</v>
      </c>
    </row>
    <row r="13" spans="1:7" ht="30" x14ac:dyDescent="0.25">
      <c r="A13" s="3" t="s">
        <v>224</v>
      </c>
      <c r="B13" s="3" t="s">
        <v>231</v>
      </c>
      <c r="C13" s="3" t="e">
        <f>B1*0.5</f>
        <v>#VALUE!</v>
      </c>
      <c r="D13" s="3" t="s">
        <v>229</v>
      </c>
      <c r="E13" s="3" t="str">
        <f t="shared" si="2"/>
        <v>Component</v>
      </c>
      <c r="F13" s="3" t="s">
        <v>232</v>
      </c>
      <c r="G13" s="3" t="e">
        <f t="shared" si="1"/>
        <v>#VALUE!</v>
      </c>
    </row>
    <row r="14" spans="1:7" x14ac:dyDescent="0.25">
      <c r="A14" s="3" t="s">
        <v>233</v>
      </c>
      <c r="B14" s="3" t="s">
        <v>169</v>
      </c>
      <c r="C14" s="3" t="e">
        <f>Assumptions!B8*Assumptions!#REF!</f>
        <v>#REF!</v>
      </c>
      <c r="D14" s="3" t="s">
        <v>63</v>
      </c>
      <c r="E14" s="3" t="e">
        <f t="shared" si="2"/>
        <v>#VALUE!</v>
      </c>
      <c r="F14" s="3" t="s">
        <v>234</v>
      </c>
      <c r="G14" s="3" t="e">
        <f t="shared" si="1"/>
        <v>#VALUE!</v>
      </c>
    </row>
    <row r="15" spans="1:7" x14ac:dyDescent="0.25">
      <c r="A15" s="3" t="s">
        <v>233</v>
      </c>
      <c r="B15" s="3" t="s">
        <v>172</v>
      </c>
      <c r="C15" s="3" t="e">
        <f>B13*0.3</f>
        <v>#VALUE!</v>
      </c>
      <c r="D15" s="3" t="s">
        <v>63</v>
      </c>
      <c r="E15" s="3" t="e">
        <f t="shared" si="2"/>
        <v>#REF!</v>
      </c>
      <c r="F15" s="3" t="s">
        <v>235</v>
      </c>
      <c r="G15" s="3" t="e">
        <f t="shared" si="1"/>
        <v>#VALUE!</v>
      </c>
    </row>
    <row r="16" spans="1:7" x14ac:dyDescent="0.25">
      <c r="A16" s="3" t="s">
        <v>233</v>
      </c>
      <c r="B16" s="3" t="s">
        <v>236</v>
      </c>
      <c r="C16" s="3" t="e">
        <f>B1*1000</f>
        <v>#VALUE!</v>
      </c>
      <c r="D16" s="3" t="s">
        <v>237</v>
      </c>
      <c r="E16" s="3" t="e">
        <f t="shared" si="2"/>
        <v>#VALUE!</v>
      </c>
      <c r="F16" s="3" t="s">
        <v>238</v>
      </c>
      <c r="G16" s="3" t="e">
        <f t="shared" si="1"/>
        <v>#VALUE!</v>
      </c>
    </row>
    <row r="17" spans="1:7" x14ac:dyDescent="0.25">
      <c r="A17" s="3" t="s">
        <v>239</v>
      </c>
      <c r="B17" s="3" t="s">
        <v>240</v>
      </c>
      <c r="C17" s="3">
        <v>3</v>
      </c>
      <c r="D17" s="3" t="s">
        <v>241</v>
      </c>
      <c r="E17" s="3" t="e">
        <f t="shared" si="2"/>
        <v>#VALUE!</v>
      </c>
      <c r="F17" s="3" t="s">
        <v>242</v>
      </c>
      <c r="G17" s="3" t="e">
        <f t="shared" si="1"/>
        <v>#VALUE!</v>
      </c>
    </row>
    <row r="18" spans="1:7" x14ac:dyDescent="0.25">
      <c r="A18" s="3" t="s">
        <v>239</v>
      </c>
      <c r="B18" s="3" t="s">
        <v>243</v>
      </c>
      <c r="C18" s="3" t="e">
        <f>B1*10000</f>
        <v>#VALUE!</v>
      </c>
      <c r="D18" s="3" t="s">
        <v>244</v>
      </c>
      <c r="E18" s="3">
        <f t="shared" si="2"/>
        <v>3</v>
      </c>
      <c r="F18" s="3" t="s">
        <v>245</v>
      </c>
      <c r="G18" s="3" t="e">
        <f>D17*E17/1000000</f>
        <v>#VALUE!</v>
      </c>
    </row>
    <row r="19" spans="1:7" x14ac:dyDescent="0.25">
      <c r="A19" s="3" t="s">
        <v>239</v>
      </c>
      <c r="B19" s="3" t="s">
        <v>246</v>
      </c>
      <c r="C19" s="3" t="e">
        <f>B1*1000</f>
        <v>#VALUE!</v>
      </c>
      <c r="D19" s="3" t="s">
        <v>247</v>
      </c>
      <c r="E19" s="3" t="e">
        <f t="shared" si="2"/>
        <v>#VALUE!</v>
      </c>
      <c r="F19" s="3" t="s">
        <v>248</v>
      </c>
      <c r="G19" s="3" t="e">
        <f>D18*E18/1000000</f>
        <v>#VALUE!</v>
      </c>
    </row>
    <row r="20" spans="1:7" x14ac:dyDescent="0.25">
      <c r="A20" s="3" t="s">
        <v>249</v>
      </c>
      <c r="B20" s="3" t="s">
        <v>250</v>
      </c>
      <c r="C20" s="3" t="e">
        <f>Assumptions!#REF!*5</f>
        <v>#REF!</v>
      </c>
      <c r="D20" s="3" t="s">
        <v>189</v>
      </c>
      <c r="E20" s="3" t="e">
        <f t="shared" si="2"/>
        <v>#VALUE!</v>
      </c>
      <c r="F20" s="3" t="s">
        <v>251</v>
      </c>
      <c r="G20" s="3" t="e">
        <f t="shared" ref="G20:G27" si="3">D19*E19</f>
        <v>#VALUE!</v>
      </c>
    </row>
    <row r="21" spans="1:7" x14ac:dyDescent="0.25">
      <c r="A21" s="3" t="s">
        <v>249</v>
      </c>
      <c r="B21" s="3" t="s">
        <v>252</v>
      </c>
      <c r="C21" s="3" t="e">
        <f>B1*0.1</f>
        <v>#VALUE!</v>
      </c>
      <c r="D21" s="3" t="s">
        <v>44</v>
      </c>
      <c r="E21" s="3" t="e">
        <f t="shared" si="2"/>
        <v>#REF!</v>
      </c>
      <c r="F21" s="3" t="s">
        <v>253</v>
      </c>
      <c r="G21" s="3" t="e">
        <f t="shared" si="3"/>
        <v>#VALUE!</v>
      </c>
    </row>
    <row r="22" spans="1:7" x14ac:dyDescent="0.25">
      <c r="A22" s="3" t="s">
        <v>249</v>
      </c>
      <c r="B22" s="3" t="s">
        <v>196</v>
      </c>
      <c r="C22" s="3">
        <v>1</v>
      </c>
      <c r="D22" s="3" t="s">
        <v>254</v>
      </c>
      <c r="E22" s="3" t="e">
        <f t="shared" si="2"/>
        <v>#VALUE!</v>
      </c>
      <c r="F22" s="3" t="s">
        <v>255</v>
      </c>
      <c r="G22" s="3" t="e">
        <f t="shared" si="3"/>
        <v>#VALUE!</v>
      </c>
    </row>
    <row r="23" spans="1:7" x14ac:dyDescent="0.25">
      <c r="A23" s="3" t="s">
        <v>256</v>
      </c>
      <c r="B23" s="3" t="s">
        <v>257</v>
      </c>
      <c r="C23" s="3">
        <v>1</v>
      </c>
      <c r="D23" s="3" t="s">
        <v>258</v>
      </c>
      <c r="E23" s="3">
        <f>C22*24*Assumptions!B4</f>
        <v>192</v>
      </c>
      <c r="F23" s="3" t="s">
        <v>259</v>
      </c>
      <c r="G23" s="3" t="e">
        <f t="shared" si="3"/>
        <v>#VALUE!</v>
      </c>
    </row>
    <row r="24" spans="1:7" ht="30" x14ac:dyDescent="0.25">
      <c r="A24" s="3" t="s">
        <v>256</v>
      </c>
      <c r="B24" s="3" t="s">
        <v>260</v>
      </c>
      <c r="C24" s="3">
        <v>1</v>
      </c>
      <c r="D24" s="3" t="s">
        <v>258</v>
      </c>
      <c r="E24" s="3">
        <f>C23*24*Assumptions!B4</f>
        <v>192</v>
      </c>
      <c r="F24" s="3">
        <v>100</v>
      </c>
      <c r="G24" s="3" t="e">
        <f t="shared" si="3"/>
        <v>#VALUE!</v>
      </c>
    </row>
    <row r="25" spans="1:7" x14ac:dyDescent="0.25">
      <c r="A25" s="3" t="s">
        <v>256</v>
      </c>
      <c r="B25" s="3" t="s">
        <v>207</v>
      </c>
      <c r="C25" s="3" t="e">
        <f>B1*0.001</f>
        <v>#VALUE!</v>
      </c>
      <c r="D25" s="3" t="s">
        <v>44</v>
      </c>
      <c r="E25" s="3">
        <f>C24</f>
        <v>1</v>
      </c>
      <c r="F25" s="3" t="s">
        <v>261</v>
      </c>
      <c r="G25" s="3" t="e">
        <f t="shared" si="3"/>
        <v>#VALUE!</v>
      </c>
    </row>
    <row r="26" spans="1:7" x14ac:dyDescent="0.25">
      <c r="A26" s="3" t="s">
        <v>262</v>
      </c>
      <c r="B26" s="3" t="s">
        <v>263</v>
      </c>
      <c r="C26" s="3">
        <v>2</v>
      </c>
      <c r="D26" s="3" t="s">
        <v>264</v>
      </c>
      <c r="E26" s="3" t="e">
        <f>C25</f>
        <v>#VALUE!</v>
      </c>
      <c r="F26" s="3">
        <v>50</v>
      </c>
      <c r="G26" s="3" t="e">
        <f t="shared" si="3"/>
        <v>#VALUE!</v>
      </c>
    </row>
    <row r="27" spans="1:7" x14ac:dyDescent="0.25">
      <c r="A27" s="3" t="s">
        <v>262</v>
      </c>
      <c r="B27" s="3" t="s">
        <v>265</v>
      </c>
      <c r="C27" s="3">
        <v>1</v>
      </c>
      <c r="D27" s="3" t="s">
        <v>266</v>
      </c>
      <c r="E27" s="3">
        <f>C26</f>
        <v>2</v>
      </c>
      <c r="F27" s="3">
        <v>0</v>
      </c>
      <c r="G27" s="3" t="e">
        <f t="shared" si="3"/>
        <v>#VALUE!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workbookViewId="0">
      <selection activeCell="A11" sqref="A11"/>
    </sheetView>
  </sheetViews>
  <sheetFormatPr defaultRowHeight="15" x14ac:dyDescent="0.25"/>
  <cols>
    <col min="1" max="1" width="30.42578125" style="3" customWidth="1"/>
    <col min="2" max="2" width="12.140625" style="3" customWidth="1"/>
    <col min="3" max="3" width="9.140625" style="3"/>
    <col min="4" max="4" width="52.140625" style="3" customWidth="1"/>
    <col min="5" max="11" width="9.140625" style="3"/>
  </cols>
  <sheetData>
    <row r="1" spans="1:4" ht="30" x14ac:dyDescent="0.25">
      <c r="A1" s="2" t="s">
        <v>0</v>
      </c>
      <c r="B1" s="2" t="s">
        <v>267</v>
      </c>
      <c r="C1" s="2" t="s">
        <v>268</v>
      </c>
      <c r="D1" s="2" t="s">
        <v>3</v>
      </c>
    </row>
    <row r="2" spans="1:4" x14ac:dyDescent="0.25">
      <c r="A2" s="3" t="s">
        <v>269</v>
      </c>
      <c r="B2" s="3" t="e">
        <f>SUM([2]BOM!F1:F4)</f>
        <v>#REF!</v>
      </c>
      <c r="D2" s="3" t="s">
        <v>270</v>
      </c>
    </row>
    <row r="3" spans="1:4" x14ac:dyDescent="0.25">
      <c r="A3" s="3" t="s">
        <v>271</v>
      </c>
      <c r="B3" s="3" t="e">
        <f>SUM([2]BOM!F5:F8)</f>
        <v>#REF!</v>
      </c>
      <c r="D3" s="3" t="s">
        <v>272</v>
      </c>
    </row>
    <row r="4" spans="1:4" x14ac:dyDescent="0.25">
      <c r="A4" s="3" t="s">
        <v>273</v>
      </c>
      <c r="B4" s="3" t="e">
        <f>SUM([2]BOM!F9:F16)</f>
        <v>#REF!</v>
      </c>
      <c r="D4" s="3" t="s">
        <v>274</v>
      </c>
    </row>
    <row r="5" spans="1:4" x14ac:dyDescent="0.25">
      <c r="A5" s="3" t="s">
        <v>275</v>
      </c>
      <c r="B5" s="3" t="e">
        <f>SUM([2]BOM!F13:F15,[2]BOM!F24)</f>
        <v>#REF!</v>
      </c>
      <c r="D5" s="3" t="s">
        <v>276</v>
      </c>
    </row>
    <row r="6" spans="1:4" x14ac:dyDescent="0.25">
      <c r="A6" s="3" t="s">
        <v>277</v>
      </c>
      <c r="B6" s="3" t="e">
        <f>SUM([2]BOM!F19:F21)</f>
        <v>#REF!</v>
      </c>
      <c r="D6" s="3" t="s">
        <v>13</v>
      </c>
    </row>
    <row r="7" spans="1:4" x14ac:dyDescent="0.25">
      <c r="A7" s="3" t="s">
        <v>278</v>
      </c>
      <c r="B7" s="3" t="e">
        <f>SUM([2]BOM!F22:F23)</f>
        <v>#REF!</v>
      </c>
      <c r="D7" s="3" t="s">
        <v>279</v>
      </c>
    </row>
    <row r="8" spans="1:4" x14ac:dyDescent="0.25">
      <c r="A8" s="3" t="s">
        <v>280</v>
      </c>
      <c r="B8" s="3" t="e">
        <f>SUM([2]BOM!F25:F26)</f>
        <v>#REF!</v>
      </c>
      <c r="D8" s="3" t="s">
        <v>281</v>
      </c>
    </row>
    <row r="9" spans="1:4" x14ac:dyDescent="0.25">
      <c r="A9" s="3" t="s">
        <v>18</v>
      </c>
      <c r="B9" s="3" t="e">
        <f>B1+B2+B3+B4+B5+B6+B7</f>
        <v>#VALUE!</v>
      </c>
      <c r="D9" s="3" t="s">
        <v>282</v>
      </c>
    </row>
    <row r="11" spans="1:4" ht="30" x14ac:dyDescent="0.25">
      <c r="A11" s="3" t="s">
        <v>283</v>
      </c>
      <c r="D11" s="3" t="s">
        <v>284</v>
      </c>
    </row>
    <row r="12" spans="1:4" x14ac:dyDescent="0.25">
      <c r="A12" s="3" t="s">
        <v>285</v>
      </c>
      <c r="B12" s="3" t="e">
        <f>B8*0.7</f>
        <v>#REF!</v>
      </c>
      <c r="D12" s="3" t="s">
        <v>286</v>
      </c>
    </row>
    <row r="13" spans="1:4" x14ac:dyDescent="0.25">
      <c r="A13" s="3" t="s">
        <v>287</v>
      </c>
      <c r="B13" s="3" t="e">
        <f>B8*0.2</f>
        <v>#REF!</v>
      </c>
      <c r="D13" s="3" t="s">
        <v>288</v>
      </c>
    </row>
    <row r="14" spans="1:4" x14ac:dyDescent="0.25">
      <c r="A14" s="3" t="s">
        <v>289</v>
      </c>
      <c r="B14" s="3" t="e">
        <f>B8*0.1</f>
        <v>#REF!</v>
      </c>
      <c r="D14" s="3" t="s">
        <v>290</v>
      </c>
    </row>
    <row r="16" spans="1:4" x14ac:dyDescent="0.25">
      <c r="A16" s="3" t="s">
        <v>291</v>
      </c>
      <c r="D16" s="3" t="s">
        <v>292</v>
      </c>
    </row>
    <row r="17" spans="1:4" x14ac:dyDescent="0.25">
      <c r="A17" s="3" t="s">
        <v>293</v>
      </c>
      <c r="B17" s="3" t="e">
        <f>B8/Assumptions!#REF!</f>
        <v>#REF!</v>
      </c>
      <c r="D17" s="3" t="s">
        <v>294</v>
      </c>
    </row>
    <row r="18" spans="1:4" x14ac:dyDescent="0.25">
      <c r="A18" s="3" t="s">
        <v>295</v>
      </c>
      <c r="B18" s="3">
        <f>B16/Assumptions!B4</f>
        <v>0</v>
      </c>
      <c r="D18" s="3" t="s">
        <v>296</v>
      </c>
    </row>
    <row r="19" spans="1:4" x14ac:dyDescent="0.25">
      <c r="A19" s="3" t="s">
        <v>297</v>
      </c>
      <c r="B19" s="3" t="e">
        <f>B16/(Assumptions!#REF!*Assumptions!B4*Assumptions!B5)</f>
        <v>#REF!</v>
      </c>
      <c r="D19" s="3" t="s">
        <v>298</v>
      </c>
    </row>
    <row r="21" spans="1:4" x14ac:dyDescent="0.25">
      <c r="A21" s="3" t="s">
        <v>299</v>
      </c>
      <c r="D21" s="3" t="s">
        <v>300</v>
      </c>
    </row>
    <row r="22" spans="1:4" x14ac:dyDescent="0.25">
      <c r="A22" s="3" t="s">
        <v>301</v>
      </c>
      <c r="B22" s="3" t="e">
        <f>B8*3</f>
        <v>#REF!</v>
      </c>
      <c r="D22" s="3" t="s">
        <v>302</v>
      </c>
    </row>
    <row r="23" spans="1:4" x14ac:dyDescent="0.25">
      <c r="A23" s="3" t="s">
        <v>303</v>
      </c>
      <c r="B23" s="3">
        <f>B21*1.15</f>
        <v>0</v>
      </c>
      <c r="D23" s="3" t="s">
        <v>304</v>
      </c>
    </row>
    <row r="24" spans="1:4" x14ac:dyDescent="0.25">
      <c r="A24" s="3" t="s">
        <v>305</v>
      </c>
      <c r="B24" s="3" t="e">
        <f>B22*1.15</f>
        <v>#REF!</v>
      </c>
      <c r="D24" s="3" t="s">
        <v>306</v>
      </c>
    </row>
    <row r="25" spans="1:4" x14ac:dyDescent="0.25">
      <c r="A25" s="3" t="s">
        <v>307</v>
      </c>
      <c r="B25" s="3">
        <f>B23*1.15</f>
        <v>0</v>
      </c>
      <c r="D25" s="3" t="s">
        <v>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tabSelected="1" workbookViewId="0">
      <selection activeCell="G8" sqref="G8"/>
    </sheetView>
  </sheetViews>
  <sheetFormatPr defaultRowHeight="15" x14ac:dyDescent="0.25"/>
  <cols>
    <col min="1" max="1" width="17.28515625" style="3" customWidth="1"/>
    <col min="2" max="2" width="13.140625" style="3" customWidth="1"/>
    <col min="3" max="3" width="17.42578125" style="7" customWidth="1"/>
    <col min="4" max="4" width="9.140625" style="3"/>
    <col min="5" max="5" width="13.140625" style="3" customWidth="1"/>
    <col min="6" max="6" width="9.140625" style="3"/>
    <col min="7" max="7" width="18.28515625" style="3" customWidth="1"/>
    <col min="8" max="8" width="47.28515625" style="3" customWidth="1"/>
    <col min="9" max="14" width="9.140625" style="3"/>
  </cols>
  <sheetData>
    <row r="1" spans="1:8" ht="45" x14ac:dyDescent="0.25">
      <c r="A1" s="2" t="s">
        <v>309</v>
      </c>
      <c r="B1" s="2" t="s">
        <v>25</v>
      </c>
      <c r="C1" s="14" t="s">
        <v>448</v>
      </c>
      <c r="D1" s="2" t="s">
        <v>310</v>
      </c>
      <c r="E1" s="2" t="s">
        <v>311</v>
      </c>
      <c r="F1" s="2" t="s">
        <v>312</v>
      </c>
      <c r="G1" s="14" t="s">
        <v>449</v>
      </c>
      <c r="H1" s="2" t="s">
        <v>3</v>
      </c>
    </row>
    <row r="2" spans="1:8" ht="30" x14ac:dyDescent="0.25">
      <c r="A2" s="3" t="s">
        <v>313</v>
      </c>
      <c r="B2" s="3">
        <v>10</v>
      </c>
      <c r="C2" s="7">
        <v>3</v>
      </c>
      <c r="D2" s="3">
        <v>120</v>
      </c>
      <c r="E2" s="3">
        <v>40</v>
      </c>
      <c r="F2" s="3" t="e">
        <f>Calculations!B8</f>
        <v>#REF!</v>
      </c>
      <c r="G2" s="3" t="e">
        <f t="shared" ref="G2:G9" si="0">F1/B1</f>
        <v>#VALUE!</v>
      </c>
      <c r="H2" s="3" t="s">
        <v>314</v>
      </c>
    </row>
    <row r="3" spans="1:8" x14ac:dyDescent="0.25">
      <c r="A3" s="3" t="s">
        <v>315</v>
      </c>
      <c r="B3" s="3">
        <v>5</v>
      </c>
      <c r="C3" s="7">
        <v>2</v>
      </c>
      <c r="D3" s="3">
        <v>90</v>
      </c>
      <c r="E3" s="3">
        <v>30</v>
      </c>
      <c r="F3" s="3" t="e">
        <f>Calculations!B8*0.4</f>
        <v>#REF!</v>
      </c>
      <c r="G3" s="3" t="e">
        <f t="shared" si="0"/>
        <v>#REF!</v>
      </c>
      <c r="H3" s="3" t="s">
        <v>316</v>
      </c>
    </row>
    <row r="4" spans="1:8" x14ac:dyDescent="0.25">
      <c r="A4" s="3" t="s">
        <v>317</v>
      </c>
      <c r="B4" s="3">
        <v>15</v>
      </c>
      <c r="C4" s="7">
        <v>5</v>
      </c>
      <c r="D4" s="3">
        <v>180</v>
      </c>
      <c r="E4" s="3">
        <v>50</v>
      </c>
      <c r="F4" s="3" t="e">
        <f>Calculations!B8*1.8</f>
        <v>#REF!</v>
      </c>
      <c r="G4" s="3" t="e">
        <f t="shared" si="0"/>
        <v>#REF!</v>
      </c>
      <c r="H4" s="3" t="s">
        <v>318</v>
      </c>
    </row>
    <row r="5" spans="1:8" x14ac:dyDescent="0.25">
      <c r="A5" s="3" t="s">
        <v>319</v>
      </c>
      <c r="B5" s="3">
        <v>25</v>
      </c>
      <c r="C5" s="7">
        <v>8</v>
      </c>
      <c r="D5" s="3">
        <v>300</v>
      </c>
      <c r="E5" s="3">
        <v>60</v>
      </c>
      <c r="F5" s="3" t="e">
        <f>Calculations!B8*4.2</f>
        <v>#REF!</v>
      </c>
      <c r="G5" s="3" t="e">
        <f t="shared" si="0"/>
        <v>#REF!</v>
      </c>
      <c r="H5" s="3" t="s">
        <v>320</v>
      </c>
    </row>
    <row r="6" spans="1:8" x14ac:dyDescent="0.25">
      <c r="A6" s="3" t="s">
        <v>321</v>
      </c>
      <c r="B6" s="3">
        <v>10</v>
      </c>
      <c r="C6" s="7">
        <v>4</v>
      </c>
      <c r="D6" s="3">
        <v>150</v>
      </c>
      <c r="E6" s="3">
        <v>45</v>
      </c>
      <c r="F6" s="3" t="e">
        <f>Calculations!B8*1.3</f>
        <v>#REF!</v>
      </c>
      <c r="G6" s="3" t="e">
        <f t="shared" si="0"/>
        <v>#REF!</v>
      </c>
      <c r="H6" s="3" t="s">
        <v>322</v>
      </c>
    </row>
    <row r="7" spans="1:8" x14ac:dyDescent="0.25">
      <c r="A7" s="3" t="s">
        <v>323</v>
      </c>
      <c r="B7" s="3">
        <v>20</v>
      </c>
      <c r="C7" s="7">
        <v>6</v>
      </c>
      <c r="D7" s="3">
        <v>240</v>
      </c>
      <c r="E7" s="3">
        <v>40</v>
      </c>
      <c r="F7" s="3" t="e">
        <f>Calculations!B8*2.4</f>
        <v>#REF!</v>
      </c>
      <c r="G7" s="3" t="e">
        <f t="shared" si="0"/>
        <v>#REF!</v>
      </c>
      <c r="H7" s="3" t="s">
        <v>324</v>
      </c>
    </row>
    <row r="8" spans="1:8" x14ac:dyDescent="0.25">
      <c r="A8" s="3" t="s">
        <v>325</v>
      </c>
      <c r="B8" s="3">
        <v>10</v>
      </c>
      <c r="C8" s="7">
        <v>3</v>
      </c>
      <c r="D8" s="3">
        <v>120</v>
      </c>
      <c r="E8" s="3">
        <v>40</v>
      </c>
      <c r="F8" s="3" t="e">
        <f>Calculations!B8*1</f>
        <v>#REF!</v>
      </c>
      <c r="G8" s="3" t="e">
        <f t="shared" si="0"/>
        <v>#REF!</v>
      </c>
      <c r="H8" s="3" t="s">
        <v>326</v>
      </c>
    </row>
    <row r="9" spans="1:8" x14ac:dyDescent="0.25">
      <c r="A9" s="3" t="s">
        <v>327</v>
      </c>
      <c r="B9" s="3">
        <v>50</v>
      </c>
      <c r="C9" s="7">
        <v>4</v>
      </c>
      <c r="D9" s="3">
        <v>180</v>
      </c>
      <c r="E9" s="3">
        <v>35</v>
      </c>
      <c r="F9" s="3" t="e">
        <f>Calculations!B8*6.5</f>
        <v>#REF!</v>
      </c>
      <c r="G9" s="3" t="e">
        <f t="shared" si="0"/>
        <v>#REF!</v>
      </c>
      <c r="H9" s="3" t="s">
        <v>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7"/>
  <sheetViews>
    <sheetView workbookViewId="0"/>
  </sheetViews>
  <sheetFormatPr defaultRowHeight="15" x14ac:dyDescent="0.25"/>
  <sheetData>
    <row r="1" spans="1:4" x14ac:dyDescent="0.25">
      <c r="A1" s="1" t="s">
        <v>329</v>
      </c>
      <c r="B1" s="1" t="s">
        <v>24</v>
      </c>
      <c r="C1" s="1" t="s">
        <v>330</v>
      </c>
      <c r="D1" s="1" t="s">
        <v>331</v>
      </c>
    </row>
    <row r="2" spans="1:4" x14ac:dyDescent="0.25">
      <c r="A2" t="s">
        <v>332</v>
      </c>
    </row>
    <row r="6" spans="1:4" x14ac:dyDescent="0.25">
      <c r="A6" t="s">
        <v>333</v>
      </c>
      <c r="B6" t="s">
        <v>334</v>
      </c>
      <c r="C6" t="s">
        <v>335</v>
      </c>
      <c r="D6" t="s">
        <v>336</v>
      </c>
    </row>
    <row r="7" spans="1:4" x14ac:dyDescent="0.25">
      <c r="A7" t="s">
        <v>337</v>
      </c>
      <c r="B7" t="s">
        <v>338</v>
      </c>
      <c r="C7" t="s">
        <v>339</v>
      </c>
      <c r="D7" t="s">
        <v>336</v>
      </c>
    </row>
    <row r="8" spans="1:4" x14ac:dyDescent="0.25">
      <c r="A8" t="s">
        <v>340</v>
      </c>
      <c r="B8" t="s">
        <v>341</v>
      </c>
      <c r="C8" t="s">
        <v>342</v>
      </c>
      <c r="D8" t="s">
        <v>336</v>
      </c>
    </row>
    <row r="9" spans="1:4" x14ac:dyDescent="0.25">
      <c r="A9" t="s">
        <v>104</v>
      </c>
      <c r="B9" t="s">
        <v>343</v>
      </c>
      <c r="C9" t="s">
        <v>344</v>
      </c>
      <c r="D9" t="s">
        <v>345</v>
      </c>
    </row>
    <row r="11" spans="1:4" x14ac:dyDescent="0.25">
      <c r="A11" t="s">
        <v>346</v>
      </c>
    </row>
    <row r="14" spans="1:4" x14ac:dyDescent="0.25">
      <c r="A14" t="s">
        <v>80</v>
      </c>
      <c r="B14" t="s">
        <v>347</v>
      </c>
      <c r="C14" t="s">
        <v>348</v>
      </c>
      <c r="D14" t="s">
        <v>349</v>
      </c>
    </row>
    <row r="15" spans="1:4" x14ac:dyDescent="0.25">
      <c r="A15" t="s">
        <v>350</v>
      </c>
      <c r="B15" t="s">
        <v>351</v>
      </c>
      <c r="C15" t="s">
        <v>352</v>
      </c>
      <c r="D15" t="s">
        <v>353</v>
      </c>
    </row>
    <row r="16" spans="1:4" x14ac:dyDescent="0.25">
      <c r="A16" t="s">
        <v>354</v>
      </c>
      <c r="B16" t="s">
        <v>355</v>
      </c>
      <c r="C16" t="s">
        <v>356</v>
      </c>
      <c r="D16" t="s">
        <v>336</v>
      </c>
    </row>
    <row r="17" spans="1:4" x14ac:dyDescent="0.25">
      <c r="A17" t="s">
        <v>357</v>
      </c>
      <c r="B17" t="s">
        <v>358</v>
      </c>
      <c r="C17" t="s">
        <v>359</v>
      </c>
      <c r="D17" t="s">
        <v>360</v>
      </c>
    </row>
    <row r="19" spans="1:4" x14ac:dyDescent="0.25">
      <c r="A19" t="s">
        <v>361</v>
      </c>
    </row>
    <row r="22" spans="1:4" x14ac:dyDescent="0.25">
      <c r="A22" t="s">
        <v>362</v>
      </c>
      <c r="B22" t="s">
        <v>363</v>
      </c>
      <c r="C22" t="s">
        <v>364</v>
      </c>
      <c r="D22" t="s">
        <v>365</v>
      </c>
    </row>
    <row r="23" spans="1:4" x14ac:dyDescent="0.25">
      <c r="A23" t="s">
        <v>366</v>
      </c>
      <c r="B23" t="s">
        <v>367</v>
      </c>
      <c r="C23" t="s">
        <v>348</v>
      </c>
      <c r="D23" t="s">
        <v>368</v>
      </c>
    </row>
    <row r="24" spans="1:4" x14ac:dyDescent="0.25">
      <c r="A24" t="s">
        <v>369</v>
      </c>
      <c r="B24" t="s">
        <v>370</v>
      </c>
      <c r="C24" t="s">
        <v>371</v>
      </c>
      <c r="D24" t="s">
        <v>372</v>
      </c>
    </row>
    <row r="25" spans="1:4" x14ac:dyDescent="0.25">
      <c r="A25" t="s">
        <v>373</v>
      </c>
      <c r="B25" t="s">
        <v>374</v>
      </c>
      <c r="C25" t="s">
        <v>375</v>
      </c>
      <c r="D25" t="s">
        <v>368</v>
      </c>
    </row>
    <row r="26" spans="1:4" x14ac:dyDescent="0.25">
      <c r="A26" t="s">
        <v>376</v>
      </c>
      <c r="B26" t="s">
        <v>377</v>
      </c>
      <c r="C26" t="s">
        <v>378</v>
      </c>
      <c r="D26" t="s">
        <v>379</v>
      </c>
    </row>
    <row r="27" spans="1:4" x14ac:dyDescent="0.25">
      <c r="A27" t="s">
        <v>380</v>
      </c>
      <c r="B27" t="s">
        <v>381</v>
      </c>
      <c r="C27" t="s">
        <v>382</v>
      </c>
      <c r="D27" t="s">
        <v>383</v>
      </c>
    </row>
    <row r="28" spans="1:4" x14ac:dyDescent="0.25">
      <c r="A28" t="s">
        <v>384</v>
      </c>
      <c r="B28" t="s">
        <v>385</v>
      </c>
      <c r="C28" t="s">
        <v>386</v>
      </c>
      <c r="D28" t="s">
        <v>387</v>
      </c>
    </row>
    <row r="30" spans="1:4" x14ac:dyDescent="0.25">
      <c r="A30" t="s">
        <v>388</v>
      </c>
    </row>
    <row r="34" spans="1:4" x14ac:dyDescent="0.25">
      <c r="A34" t="s">
        <v>389</v>
      </c>
      <c r="B34" t="s">
        <v>390</v>
      </c>
      <c r="C34" t="s">
        <v>391</v>
      </c>
      <c r="D34" t="s">
        <v>392</v>
      </c>
    </row>
    <row r="35" spans="1:4" x14ac:dyDescent="0.25">
      <c r="A35" t="s">
        <v>393</v>
      </c>
      <c r="B35" t="s">
        <v>394</v>
      </c>
      <c r="C35" t="s">
        <v>395</v>
      </c>
      <c r="D35" t="s">
        <v>396</v>
      </c>
    </row>
    <row r="36" spans="1:4" x14ac:dyDescent="0.25">
      <c r="A36" t="s">
        <v>397</v>
      </c>
      <c r="B36" t="s">
        <v>398</v>
      </c>
      <c r="C36" t="s">
        <v>399</v>
      </c>
      <c r="D36" t="s">
        <v>392</v>
      </c>
    </row>
    <row r="37" spans="1:4" x14ac:dyDescent="0.25">
      <c r="A37" t="s">
        <v>400</v>
      </c>
      <c r="B37" t="s">
        <v>401</v>
      </c>
      <c r="C37" t="s">
        <v>402</v>
      </c>
      <c r="D37" t="s">
        <v>403</v>
      </c>
    </row>
    <row r="38" spans="1:4" x14ac:dyDescent="0.25">
      <c r="A38" t="s">
        <v>404</v>
      </c>
      <c r="B38" t="s">
        <v>405</v>
      </c>
      <c r="C38" t="s">
        <v>406</v>
      </c>
      <c r="D38" t="s">
        <v>407</v>
      </c>
    </row>
    <row r="39" spans="1:4" x14ac:dyDescent="0.25">
      <c r="A39" t="s">
        <v>408</v>
      </c>
      <c r="B39" t="s">
        <v>409</v>
      </c>
      <c r="C39" t="s">
        <v>410</v>
      </c>
      <c r="D39" t="s">
        <v>411</v>
      </c>
    </row>
    <row r="40" spans="1:4" x14ac:dyDescent="0.25">
      <c r="A40" t="s">
        <v>412</v>
      </c>
      <c r="B40" t="s">
        <v>413</v>
      </c>
      <c r="C40" t="s">
        <v>414</v>
      </c>
      <c r="D40" t="s">
        <v>415</v>
      </c>
    </row>
    <row r="42" spans="1:4" x14ac:dyDescent="0.25">
      <c r="A42" t="s">
        <v>416</v>
      </c>
    </row>
    <row r="46" spans="1:4" x14ac:dyDescent="0.25">
      <c r="A46" t="s">
        <v>417</v>
      </c>
      <c r="B46" t="s">
        <v>418</v>
      </c>
      <c r="C46" t="s">
        <v>419</v>
      </c>
      <c r="D46" t="s">
        <v>420</v>
      </c>
    </row>
    <row r="47" spans="1:4" x14ac:dyDescent="0.25">
      <c r="A47" t="s">
        <v>421</v>
      </c>
      <c r="B47" t="s">
        <v>422</v>
      </c>
      <c r="C47" t="s">
        <v>423</v>
      </c>
      <c r="D47" t="s">
        <v>420</v>
      </c>
    </row>
    <row r="48" spans="1:4" x14ac:dyDescent="0.25">
      <c r="A48" t="s">
        <v>424</v>
      </c>
      <c r="B48" t="s">
        <v>425</v>
      </c>
      <c r="C48" t="s">
        <v>426</v>
      </c>
      <c r="D48" t="s">
        <v>420</v>
      </c>
    </row>
    <row r="49" spans="1:4" x14ac:dyDescent="0.25">
      <c r="A49" t="s">
        <v>427</v>
      </c>
      <c r="B49" t="s">
        <v>428</v>
      </c>
      <c r="C49" t="s">
        <v>429</v>
      </c>
      <c r="D49" t="s">
        <v>420</v>
      </c>
    </row>
    <row r="51" spans="1:4" x14ac:dyDescent="0.25">
      <c r="A51" t="s">
        <v>430</v>
      </c>
    </row>
    <row r="54" spans="1:4" x14ac:dyDescent="0.25">
      <c r="A54" t="s">
        <v>431</v>
      </c>
      <c r="B54" t="s">
        <v>432</v>
      </c>
      <c r="C54" t="s">
        <v>433</v>
      </c>
      <c r="D54" t="s">
        <v>434</v>
      </c>
    </row>
    <row r="55" spans="1:4" x14ac:dyDescent="0.25">
      <c r="A55" t="s">
        <v>435</v>
      </c>
      <c r="B55" t="s">
        <v>436</v>
      </c>
      <c r="C55" t="s">
        <v>437</v>
      </c>
      <c r="D55" t="s">
        <v>438</v>
      </c>
    </row>
    <row r="56" spans="1:4" x14ac:dyDescent="0.25">
      <c r="A56" t="s">
        <v>439</v>
      </c>
      <c r="B56" t="s">
        <v>440</v>
      </c>
      <c r="C56" t="s">
        <v>441</v>
      </c>
      <c r="D56" t="s">
        <v>442</v>
      </c>
    </row>
    <row r="57" spans="1:4" x14ac:dyDescent="0.25">
      <c r="A57" t="s">
        <v>443</v>
      </c>
      <c r="B57" t="s">
        <v>444</v>
      </c>
      <c r="C57" t="s">
        <v>445</v>
      </c>
      <c r="D57" t="s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Assumptions</vt:lpstr>
      <vt:lpstr>AWS Pricing</vt:lpstr>
      <vt:lpstr>Bill of Materials</vt:lpstr>
      <vt:lpstr>Calculations</vt:lpstr>
      <vt:lpstr>Scenarios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Dermot O'Brien</cp:lastModifiedBy>
  <dcterms:created xsi:type="dcterms:W3CDTF">2025-10-16T20:04:37Z</dcterms:created>
  <dcterms:modified xsi:type="dcterms:W3CDTF">2025-10-16T20:16:20Z</dcterms:modified>
</cp:coreProperties>
</file>