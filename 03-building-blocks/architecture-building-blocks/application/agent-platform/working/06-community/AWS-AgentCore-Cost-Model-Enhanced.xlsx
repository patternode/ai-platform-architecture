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019565\work-local\work-bnz\02-architecture\03-agentic-ai\06-community\"/>
    </mc:Choice>
  </mc:AlternateContent>
  <xr:revisionPtr revIDLastSave="0" documentId="13_ncr:1_{204F3E40-C729-48CF-8FDB-24E4AA07F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Assumptions" sheetId="2" r:id="rId2"/>
    <sheet name="AWS Pricing" sheetId="3" r:id="rId3"/>
    <sheet name="Bill of Materials" sheetId="4" r:id="rId4"/>
    <sheet name="Calculations" sheetId="5" r:id="rId5"/>
    <sheet name="Scenarios" sheetId="6" r:id="rId6"/>
    <sheet name="Documentation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8" i="4"/>
  <c r="F7" i="4"/>
  <c r="F6" i="4"/>
  <c r="F4" i="4"/>
  <c r="F3" i="4"/>
  <c r="F2" i="4"/>
  <c r="F5" i="4"/>
  <c r="B2" i="5"/>
  <c r="G2" i="6"/>
  <c r="B28" i="5"/>
  <c r="B30" i="5" s="1"/>
  <c r="B23" i="5"/>
  <c r="B22" i="5"/>
  <c r="B10" i="5"/>
  <c r="F9" i="6" s="1"/>
  <c r="B9" i="5"/>
  <c r="B35" i="5" s="1"/>
  <c r="B8" i="5"/>
  <c r="B34" i="5" s="1"/>
  <c r="B7" i="5"/>
  <c r="B7" i="1" s="1"/>
  <c r="C8" i="1" s="1"/>
  <c r="B6" i="5"/>
  <c r="B6" i="1" s="1"/>
  <c r="C7" i="1" s="1"/>
  <c r="B5" i="5"/>
  <c r="B5" i="1" s="1"/>
  <c r="C6" i="1" s="1"/>
  <c r="B4" i="5"/>
  <c r="B3" i="5"/>
  <c r="E26" i="4"/>
  <c r="G27" i="4" s="1"/>
  <c r="C24" i="4"/>
  <c r="C26" i="4" s="1"/>
  <c r="E27" i="4" s="1"/>
  <c r="E23" i="4"/>
  <c r="G24" i="4" s="1"/>
  <c r="C23" i="4"/>
  <c r="E24" i="4" s="1"/>
  <c r="G25" i="4" s="1"/>
  <c r="E21" i="4"/>
  <c r="G22" i="4" s="1"/>
  <c r="C21" i="4"/>
  <c r="E22" i="4" s="1"/>
  <c r="G23" i="4" s="1"/>
  <c r="C19" i="4"/>
  <c r="E20" i="4" s="1"/>
  <c r="G21" i="4" s="1"/>
  <c r="G18" i="4"/>
  <c r="E18" i="4"/>
  <c r="G19" i="4" s="1"/>
  <c r="C18" i="4"/>
  <c r="E19" i="4" s="1"/>
  <c r="G20" i="4" s="1"/>
  <c r="E17" i="4"/>
  <c r="C17" i="4"/>
  <c r="E16" i="4"/>
  <c r="G17" i="4" s="1"/>
  <c r="C16" i="4"/>
  <c r="C14" i="4"/>
  <c r="E15" i="4" s="1"/>
  <c r="G16" i="4" s="1"/>
  <c r="C13" i="4"/>
  <c r="E14" i="4" s="1"/>
  <c r="G15" i="4" s="1"/>
  <c r="C12" i="4"/>
  <c r="E13" i="4" s="1"/>
  <c r="G14" i="4" s="1"/>
  <c r="E11" i="4"/>
  <c r="G12" i="4" s="1"/>
  <c r="C11" i="4"/>
  <c r="E12" i="4" s="1"/>
  <c r="G13" i="4" s="1"/>
  <c r="C9" i="4"/>
  <c r="E10" i="4" s="1"/>
  <c r="G11" i="4" s="1"/>
  <c r="C8" i="4"/>
  <c r="E9" i="4" s="1"/>
  <c r="G10" i="4" s="1"/>
  <c r="C7" i="4"/>
  <c r="E8" i="4" s="1"/>
  <c r="G9" i="4" s="1"/>
  <c r="C6" i="4"/>
  <c r="E7" i="4" s="1"/>
  <c r="G8" i="4" s="1"/>
  <c r="C5" i="4"/>
  <c r="E6" i="4" s="1"/>
  <c r="G7" i="4" s="1"/>
  <c r="C4" i="4"/>
  <c r="E5" i="4" s="1"/>
  <c r="G6" i="4" s="1"/>
  <c r="C3" i="4"/>
  <c r="E4" i="4" s="1"/>
  <c r="G5" i="4" s="1"/>
  <c r="G2" i="4"/>
  <c r="E2" i="4"/>
  <c r="G3" i="4" s="1"/>
  <c r="C2" i="4"/>
  <c r="E3" i="4" s="1"/>
  <c r="G4" i="4" s="1"/>
  <c r="B10" i="1"/>
  <c r="C2" i="1" s="1"/>
  <c r="B9" i="1"/>
  <c r="C10" i="1" s="1"/>
  <c r="B8" i="1"/>
  <c r="C9" i="1" s="1"/>
  <c r="B4" i="1"/>
  <c r="B3" i="1"/>
  <c r="C4" i="1" s="1"/>
  <c r="B11" i="5" l="1"/>
  <c r="B16" i="5"/>
  <c r="C5" i="1"/>
  <c r="B36" i="5"/>
  <c r="F3" i="6"/>
  <c r="G4" i="6" s="1"/>
  <c r="B15" i="5"/>
  <c r="F6" i="6"/>
  <c r="G7" i="6" s="1"/>
  <c r="B17" i="5"/>
  <c r="B21" i="5"/>
  <c r="F4" i="6"/>
  <c r="G5" i="6" s="1"/>
  <c r="F5" i="6"/>
  <c r="G6" i="6" s="1"/>
  <c r="B27" i="5"/>
  <c r="B29" i="5" s="1"/>
  <c r="B2" i="1"/>
  <c r="F7" i="6"/>
  <c r="G8" i="6" s="1"/>
  <c r="E25" i="4"/>
  <c r="G26" i="4" s="1"/>
  <c r="F8" i="6"/>
  <c r="G9" i="6" s="1"/>
  <c r="F2" i="6"/>
  <c r="G3" i="6" s="1"/>
  <c r="B11" i="1" l="1"/>
  <c r="C3" i="1"/>
</calcChain>
</file>

<file path=xl/sharedStrings.xml><?xml version="1.0" encoding="utf-8"?>
<sst xmlns="http://schemas.openxmlformats.org/spreadsheetml/2006/main" count="817" uniqueCount="557">
  <si>
    <t>Cost Category</t>
  </si>
  <si>
    <t>Monthly Cost (USD)</t>
  </si>
  <si>
    <t>Percentage</t>
  </si>
  <si>
    <t>Notes</t>
  </si>
  <si>
    <t>AgentCore Services</t>
  </si>
  <si>
    <t>Runtime, Browser, Code Interpreter, Gateway, Observability</t>
  </si>
  <si>
    <t>Foundation Models (Bedrock)</t>
  </si>
  <si>
    <t>Claude 3.5, Haiku, Llama models</t>
  </si>
  <si>
    <t>Supporting AWS Services</t>
  </si>
  <si>
    <t>EC2, Lambda, S3, DynamoDB</t>
  </si>
  <si>
    <t>Data Transfer &amp; Storage</t>
  </si>
  <si>
    <t>Inter-AZ, Internet egress, S3 storage</t>
  </si>
  <si>
    <t>Monitoring &amp; Logging</t>
  </si>
  <si>
    <t>CloudWatch metrics, logs, dashboards</t>
  </si>
  <si>
    <t>Network Infrastructure</t>
  </si>
  <si>
    <t>VPC, NAT Gateway, Load Balancer</t>
  </si>
  <si>
    <t>Security &amp; Compliance</t>
  </si>
  <si>
    <t>KMS, IAM, SSL certificates</t>
  </si>
  <si>
    <t>Vector Database Services</t>
  </si>
  <si>
    <t>S3 Vectors, OpenSearch, Pinecone vector search</t>
  </si>
  <si>
    <t>Graph Database Services</t>
  </si>
  <si>
    <t>Neptune, Neo4j knowledge graphs, GraphRAG</t>
  </si>
  <si>
    <t>TOTAL MONTHLY COST</t>
  </si>
  <si>
    <t>100%</t>
  </si>
  <si>
    <t>Total estimated monthly cost</t>
  </si>
  <si>
    <t>Category</t>
  </si>
  <si>
    <t>Value</t>
  </si>
  <si>
    <t>Unit</t>
  </si>
  <si>
    <t>Description</t>
  </si>
  <si>
    <t>PROJECT ASSUMPTIONS</t>
  </si>
  <si>
    <t>Team Size</t>
  </si>
  <si>
    <t>People</t>
  </si>
  <si>
    <t>Number of sandbox users in community</t>
  </si>
  <si>
    <t>Active Hours per Day</t>
  </si>
  <si>
    <t>Hours</t>
  </si>
  <si>
    <t>Daily active usage hours</t>
  </si>
  <si>
    <t>Working Days per Month</t>
  </si>
  <si>
    <t>Days</t>
  </si>
  <si>
    <t>Business days per month</t>
  </si>
  <si>
    <t>Sessions per User per Day</t>
  </si>
  <si>
    <t>Sessions</t>
  </si>
  <si>
    <t>AgentCore sessions per user daily</t>
  </si>
  <si>
    <t>Average Session Duration</t>
  </si>
  <si>
    <t>Seconds</t>
  </si>
  <si>
    <t>Typical session length</t>
  </si>
  <si>
    <t>Peak Concurrent Users</t>
  </si>
  <si>
    <t>Users</t>
  </si>
  <si>
    <t>Maximum simultaneous users</t>
  </si>
  <si>
    <t>Data Storage Growth</t>
  </si>
  <si>
    <t>GB/Month</t>
  </si>
  <si>
    <t>Monthly data accumulation</t>
  </si>
  <si>
    <t>MODEL USAGE DISTRIBUTION</t>
  </si>
  <si>
    <t>Claude 3.5 Sonnet</t>
  </si>
  <si>
    <t>%</t>
  </si>
  <si>
    <t>Percentage of model usage</t>
  </si>
  <si>
    <t>Claude 3.5 Haiku</t>
  </si>
  <si>
    <t>Llama 3.1 70B</t>
  </si>
  <si>
    <t>Llama 3.1 8B</t>
  </si>
  <si>
    <t>Average Input Tokens per Session</t>
  </si>
  <si>
    <t>Tokens</t>
  </si>
  <si>
    <t>Typical prompt size</t>
  </si>
  <si>
    <t>Average Output Tokens per Session</t>
  </si>
  <si>
    <t>Typical response size</t>
  </si>
  <si>
    <t>VECTOR DATABASE ASSUMPTIONS</t>
  </si>
  <si>
    <t>Vector Dimensions</t>
  </si>
  <si>
    <t>Dimensions</t>
  </si>
  <si>
    <t>Vector embedding dimensions</t>
  </si>
  <si>
    <t>Vectors per User</t>
  </si>
  <si>
    <t>Vectors</t>
  </si>
  <si>
    <t>Number of vectors per user</t>
  </si>
  <si>
    <t>Vector Storage Growth</t>
  </si>
  <si>
    <t>Percent Growth/Month</t>
  </si>
  <si>
    <t>Monthly vector storage growth</t>
  </si>
  <si>
    <t>Vector Queries per Session</t>
  </si>
  <si>
    <t>Queries</t>
  </si>
  <si>
    <t>Vector searches per session</t>
  </si>
  <si>
    <t>Vector Search Precision</t>
  </si>
  <si>
    <t>95%</t>
  </si>
  <si>
    <t>Accuracy</t>
  </si>
  <si>
    <t>Target search accuracy</t>
  </si>
  <si>
    <t>Embedding Model</t>
  </si>
  <si>
    <t>text-embedding-ada-002</t>
  </si>
  <si>
    <t>Model</t>
  </si>
  <si>
    <t>Embedding model for vectors</t>
  </si>
  <si>
    <t>GRAPH DATABASE ASSUMPTIONS</t>
  </si>
  <si>
    <t>Entities per User</t>
  </si>
  <si>
    <t>Entities</t>
  </si>
  <si>
    <t>Knowledge graph entities per user</t>
  </si>
  <si>
    <t>Relationships per Entity</t>
  </si>
  <si>
    <t>Relationships</t>
  </si>
  <si>
    <t>Average relationships per entity</t>
  </si>
  <si>
    <t>Graph Queries per Session</t>
  </si>
  <si>
    <t>Graph queries per session</t>
  </si>
  <si>
    <t>Knowledge Graph Depth</t>
  </si>
  <si>
    <t>Levels</t>
  </si>
  <si>
    <t>Knowledge graph traversal depth</t>
  </si>
  <si>
    <t>GraphRAG Integration</t>
  </si>
  <si>
    <t>Enabled</t>
  </si>
  <si>
    <t>Boolean</t>
  </si>
  <si>
    <t>GraphRAG integration enabled</t>
  </si>
  <si>
    <t>Graph ML Training Frequency</t>
  </si>
  <si>
    <t>Weekly</t>
  </si>
  <si>
    <t>Frequency</t>
  </si>
  <si>
    <t>Graph ML model training frequency</t>
  </si>
  <si>
    <t>TECHNICAL SPECIFICATIONS</t>
  </si>
  <si>
    <t>CPU Usage per Session</t>
  </si>
  <si>
    <t>vCPU</t>
  </si>
  <si>
    <t>Processing requirement</t>
  </si>
  <si>
    <t>Memory Usage per Session</t>
  </si>
  <si>
    <t>GB</t>
  </si>
  <si>
    <t>RAM requirement</t>
  </si>
  <si>
    <t>Storage per User</t>
  </si>
  <si>
    <t>Individual storage allocation</t>
  </si>
  <si>
    <t>Log Retention Period</t>
  </si>
  <si>
    <t>CloudWatch log retention</t>
  </si>
  <si>
    <t>AWS Region</t>
  </si>
  <si>
    <t>us-east-1</t>
  </si>
  <si>
    <t>Region</t>
  </si>
  <si>
    <t>Primary deployment region</t>
  </si>
  <si>
    <t>Availability Zones</t>
  </si>
  <si>
    <t>Count</t>
  </si>
  <si>
    <t>Multi-AZ deployment</t>
  </si>
  <si>
    <t>VPC CIDR</t>
  </si>
  <si>
    <t>10.0.0.0/16</t>
  </si>
  <si>
    <t>CIDR</t>
  </si>
  <si>
    <t>Network address space</t>
  </si>
  <si>
    <t>Environment Type</t>
  </si>
  <si>
    <t>Sandbox</t>
  </si>
  <si>
    <t>Type</t>
  </si>
  <si>
    <t>Component</t>
  </si>
  <si>
    <t>Last Updated</t>
  </si>
  <si>
    <t>AgentCore Runtime</t>
  </si>
  <si>
    <t>per GB-second</t>
  </si>
  <si>
    <t>AgentCore Browser</t>
  </si>
  <si>
    <t>AgentCore Code Interpreter</t>
  </si>
  <si>
    <t>AgentCore Gateway</t>
  </si>
  <si>
    <t>Tool Indexing</t>
  </si>
  <si>
    <t>AgentCore Observability</t>
  </si>
  <si>
    <t>Data Ingestion</t>
  </si>
  <si>
    <t>per GB</t>
  </si>
  <si>
    <t>CloudWatch Logs ingestion</t>
  </si>
  <si>
    <t>Data Storage</t>
  </si>
  <si>
    <t>per GB-month</t>
  </si>
  <si>
    <t>CloudWatch Logs storage</t>
  </si>
  <si>
    <t>per 1000 queries</t>
  </si>
  <si>
    <t>Log analysis queries</t>
  </si>
  <si>
    <t>Input Tokens</t>
  </si>
  <si>
    <t>per 1K tokens</t>
  </si>
  <si>
    <t>Text generation input</t>
  </si>
  <si>
    <t>Output Tokens</t>
  </si>
  <si>
    <t>Text generation output</t>
  </si>
  <si>
    <t>Bedrock Claude 3.5 Haiku</t>
  </si>
  <si>
    <t>Lightweight model</t>
  </si>
  <si>
    <t>Most capable model</t>
  </si>
  <si>
    <t>EC2 t3.micro</t>
  </si>
  <si>
    <t>Instance Hour</t>
  </si>
  <si>
    <t>per hour</t>
  </si>
  <si>
    <t>Burstable performance</t>
  </si>
  <si>
    <t>EC2 t3.small</t>
  </si>
  <si>
    <t>EC2 t3.medium</t>
  </si>
  <si>
    <t>EC2 t3.large</t>
  </si>
  <si>
    <t>EC2 t4g.micro</t>
  </si>
  <si>
    <t>ARM-based Graviton2</t>
  </si>
  <si>
    <t>EC2 t4g.small</t>
  </si>
  <si>
    <t>Lambda Requests</t>
  </si>
  <si>
    <t>Requests</t>
  </si>
  <si>
    <t>per 1M requests</t>
  </si>
  <si>
    <t>First 1M free monthly</t>
  </si>
  <si>
    <t>Lambda Duration x86</t>
  </si>
  <si>
    <t>GB-seconds</t>
  </si>
  <si>
    <t>First 400K GB-s free</t>
  </si>
  <si>
    <t>S3 Standard Storage</t>
  </si>
  <si>
    <t>Storage</t>
  </si>
  <si>
    <t>First 50TB pricing tier</t>
  </si>
  <si>
    <t>S3 Standard-IA Storage</t>
  </si>
  <si>
    <t>Infrequent access</t>
  </si>
  <si>
    <t>S3 GET Requests</t>
  </si>
  <si>
    <t>per 1K requests</t>
  </si>
  <si>
    <t>Data retrieval</t>
  </si>
  <si>
    <t>S3 PUT Requests</t>
  </si>
  <si>
    <t>Data upload</t>
  </si>
  <si>
    <t>DynamoDB On-Demand RRU</t>
  </si>
  <si>
    <t>Read Request Units</t>
  </si>
  <si>
    <t>per 1M RRUs</t>
  </si>
  <si>
    <t>Pay per request</t>
  </si>
  <si>
    <t>DynamoDB On-Demand WRU</t>
  </si>
  <si>
    <t>Write Request Units</t>
  </si>
  <si>
    <t>per 1M WRUs</t>
  </si>
  <si>
    <t>DynamoDB Storage</t>
  </si>
  <si>
    <t>Data storage</t>
  </si>
  <si>
    <t>CloudWatch Custom Metrics</t>
  </si>
  <si>
    <t>Metrics</t>
  </si>
  <si>
    <t>per metric-month</t>
  </si>
  <si>
    <t>First 10K free</t>
  </si>
  <si>
    <t>CloudWatch Log Ingestion</t>
  </si>
  <si>
    <t>First 5GB free monthly</t>
  </si>
  <si>
    <t>CloudWatch Log Storage</t>
  </si>
  <si>
    <t>Compressed storage</t>
  </si>
  <si>
    <t>VPC NAT Gateway Hours</t>
  </si>
  <si>
    <t>Instance Hours</t>
  </si>
  <si>
    <t>Highly available NAT</t>
  </si>
  <si>
    <t>VPC NAT Gateway Data</t>
  </si>
  <si>
    <t>Data Processing</t>
  </si>
  <si>
    <t>Data processed</t>
  </si>
  <si>
    <t>Data Transfer Inter-AZ</t>
  </si>
  <si>
    <t>Data Transfer</t>
  </si>
  <si>
    <t>Between AZs same region</t>
  </si>
  <si>
    <t>Data Transfer Internet 1GB-10TB</t>
  </si>
  <si>
    <t>Next 9.999TB</t>
  </si>
  <si>
    <t>S3 Vectors Storage</t>
  </si>
  <si>
    <t>Vector Storage</t>
  </si>
  <si>
    <t>Vector storage in S3</t>
  </si>
  <si>
    <t>S3 Vectors Query</t>
  </si>
  <si>
    <t>Vector Queries</t>
  </si>
  <si>
    <t>per 1K queries</t>
  </si>
  <si>
    <t>Vector search operations</t>
  </si>
  <si>
    <t>OpenSearch Serverless Search OCU</t>
  </si>
  <si>
    <t>Search Compute</t>
  </si>
  <si>
    <t>per OCU-hour</t>
  </si>
  <si>
    <t>Search compute units</t>
  </si>
  <si>
    <t>OpenSearch Serverless Storage</t>
  </si>
  <si>
    <t>Managed storage</t>
  </si>
  <si>
    <t>Vector Database</t>
  </si>
  <si>
    <t>per pod-hour</t>
  </si>
  <si>
    <t>s1.x1 pod pricing</t>
  </si>
  <si>
    <t>Neo4j AuraDB Professional</t>
  </si>
  <si>
    <t>Managed Neo4j service</t>
  </si>
  <si>
    <t>Service Category</t>
  </si>
  <si>
    <t>Quantity</t>
  </si>
  <si>
    <t>Monthly Usage</t>
  </si>
  <si>
    <t>Unit Cost (USD)</t>
  </si>
  <si>
    <t>Foundation Models</t>
  </si>
  <si>
    <t>Usage %</t>
  </si>
  <si>
    <t>Compute Services</t>
  </si>
  <si>
    <t>Instances</t>
  </si>
  <si>
    <t>AWS_Pricing!E25</t>
  </si>
  <si>
    <t>Lambda Functions</t>
  </si>
  <si>
    <t>Invocations/Month</t>
  </si>
  <si>
    <t>AWS_Pricing!E30*1</t>
  </si>
  <si>
    <t>Lambda ARM Functions</t>
  </si>
  <si>
    <t>AWS_Pricing!E31*1</t>
  </si>
  <si>
    <t>Storage Services</t>
  </si>
  <si>
    <t>AWS_Pricing!E32</t>
  </si>
  <si>
    <t>S3 API Operations</t>
  </si>
  <si>
    <t>API Calls/Month</t>
  </si>
  <si>
    <t>AWS_Pricing!E34</t>
  </si>
  <si>
    <t>Database Services</t>
  </si>
  <si>
    <t>DynamoDB Tables</t>
  </si>
  <si>
    <t>Tables</t>
  </si>
  <si>
    <t>AWS_Pricing!E38</t>
  </si>
  <si>
    <t>DynamoDB Read Units</t>
  </si>
  <si>
    <t>RRUs/Month</t>
  </si>
  <si>
    <t>AWS_Pricing!E36</t>
  </si>
  <si>
    <t>DynamoDB Write Units</t>
  </si>
  <si>
    <t>WRUs/Month</t>
  </si>
  <si>
    <t>AWS_Pricing!E37</t>
  </si>
  <si>
    <t>Monitoring Services</t>
  </si>
  <si>
    <t>CloudWatch Metrics</t>
  </si>
  <si>
    <t>AWS_Pricing!E39</t>
  </si>
  <si>
    <t>CloudWatch Logs</t>
  </si>
  <si>
    <t>AWS_Pricing!E40</t>
  </si>
  <si>
    <t>Network Services</t>
  </si>
  <si>
    <t>VPC NAT Gateway</t>
  </si>
  <si>
    <t>Hours/Month</t>
  </si>
  <si>
    <t>AWS_Pricing!E43</t>
  </si>
  <si>
    <t>AWS_Pricing!E46</t>
  </si>
  <si>
    <t>Security Services</t>
  </si>
  <si>
    <t>KMS Keys</t>
  </si>
  <si>
    <t>Keys</t>
  </si>
  <si>
    <t>AWS_Pricing!E49</t>
  </si>
  <si>
    <t>OpenSearch Serverless</t>
  </si>
  <si>
    <t>Search OCU Hours/Month</t>
  </si>
  <si>
    <t>AWS_Pricing!E51</t>
  </si>
  <si>
    <t>Pinecone Vector DB</t>
  </si>
  <si>
    <t>Pods</t>
  </si>
  <si>
    <t>AWS_Pricing!E54</t>
  </si>
  <si>
    <t>Neptune Serverless</t>
  </si>
  <si>
    <t>NCU Hours/Month</t>
  </si>
  <si>
    <t>AWS_Pricing!E55</t>
  </si>
  <si>
    <t>Neo4j on EC2</t>
  </si>
  <si>
    <t>Instance Hours/Month</t>
  </si>
  <si>
    <t>AWS_Pricing!E58</t>
  </si>
  <si>
    <t>Result (USD)</t>
  </si>
  <si>
    <t>AgentCore Services Total</t>
  </si>
  <si>
    <t>Runtime, Browser, Code Interpreter, Gateway costs</t>
  </si>
  <si>
    <t>Foundation Models Total</t>
  </si>
  <si>
    <t>All Bedrock model inference costs</t>
  </si>
  <si>
    <t>Supporting AWS Services Total</t>
  </si>
  <si>
    <t>EC2, Lambda, S3 costs</t>
  </si>
  <si>
    <t>Data Transfer &amp; Storage Total</t>
  </si>
  <si>
    <t>Storage and data transfer costs</t>
  </si>
  <si>
    <t>Monitoring &amp; Logging Total</t>
  </si>
  <si>
    <t>CloudWatch metrics and logs</t>
  </si>
  <si>
    <t>Network Infrastructure Total</t>
  </si>
  <si>
    <t>VPC and NAT Gateway costs</t>
  </si>
  <si>
    <t>Security &amp; Compliance Total</t>
  </si>
  <si>
    <t>KMS keys and security</t>
  </si>
  <si>
    <t>Vector Database Services Total</t>
  </si>
  <si>
    <t>S3 Vectors, OpenSearch, Pinecone costs</t>
  </si>
  <si>
    <t>Graph Database Services Total</t>
  </si>
  <si>
    <t>Neptune, Neo4j, and graph ML costs</t>
  </si>
  <si>
    <t>Complete monthly cost estimate</t>
  </si>
  <si>
    <t>BREAKDOWN BY USAGE PATTERN</t>
  </si>
  <si>
    <t>Cost distribution by usage pattern</t>
  </si>
  <si>
    <t>Peak Hours Cost (70%)</t>
  </si>
  <si>
    <t>Business hours (9-5) usage cost</t>
  </si>
  <si>
    <t>Off-Peak Hours Cost (20%)</t>
  </si>
  <si>
    <t>After hours usage cost</t>
  </si>
  <si>
    <t>Weekend Cost (10%)</t>
  </si>
  <si>
    <t>Weekend usage cost</t>
  </si>
  <si>
    <t>COST PER USER</t>
  </si>
  <si>
    <t>Per-user cost metrics</t>
  </si>
  <si>
    <t>Monthly Cost per User</t>
  </si>
  <si>
    <t>Total cost divided by team size</t>
  </si>
  <si>
    <t>Daily Cost per User</t>
  </si>
  <si>
    <t>Monthly cost per working day</t>
  </si>
  <si>
    <t>Cost per Session</t>
  </si>
  <si>
    <t>Cost per individual session</t>
  </si>
  <si>
    <t>QUARTERLY PROJECTIONS</t>
  </si>
  <si>
    <t>Growth projections</t>
  </si>
  <si>
    <t>Q1 Estimate</t>
  </si>
  <si>
    <t>Current quarter estimate</t>
  </si>
  <si>
    <t>Q2 Estimate (15% growth)</t>
  </si>
  <si>
    <t>Next quarter with growth</t>
  </si>
  <si>
    <t>Q3 Estimate (cumulative)</t>
  </si>
  <si>
    <t>Third quarter projection</t>
  </si>
  <si>
    <t>Q4 Estimate (cumulative)</t>
  </si>
  <si>
    <t>Fourth quarter projection</t>
  </si>
  <si>
    <t>DATABASE COST BREAKDOWN</t>
  </si>
  <si>
    <t>Database technology cost analysis</t>
  </si>
  <si>
    <t>Vector Database Cost Ratio</t>
  </si>
  <si>
    <t>Vector database cost percentage</t>
  </si>
  <si>
    <t>Graph Database Cost Ratio</t>
  </si>
  <si>
    <t>Graph database cost percentage</t>
  </si>
  <si>
    <t>Traditional Database Cost Ratio</t>
  </si>
  <si>
    <t>Traditional database cost percentage</t>
  </si>
  <si>
    <t>Scenario</t>
  </si>
  <si>
    <t>Sessions/User/Day</t>
  </si>
  <si>
    <t>Vector Usage Multiplier</t>
  </si>
  <si>
    <t>Graph Usage Multiplier</t>
  </si>
  <si>
    <t>Monthly Cost</t>
  </si>
  <si>
    <t>Cost/User/Month</t>
  </si>
  <si>
    <t>Baseline (Current)</t>
  </si>
  <si>
    <t>Standard sandbox usage pattern</t>
  </si>
  <si>
    <t>Light Usage</t>
  </si>
  <si>
    <t>Minimal experimentation</t>
  </si>
  <si>
    <t>Heavy Usage</t>
  </si>
  <si>
    <t>Active development phase</t>
  </si>
  <si>
    <t>Training Event</t>
  </si>
  <si>
    <t>Intensive training workshop</t>
  </si>
  <si>
    <t>Vector Search Heavy</t>
  </si>
  <si>
    <t>Heavy vector search workload</t>
  </si>
  <si>
    <t>Graph Analytics</t>
  </si>
  <si>
    <t>Graph analytics and ML training</t>
  </si>
  <si>
    <t>RAG + GraphRAG</t>
  </si>
  <si>
    <t>Combined RAG and GraphRAG</t>
  </si>
  <si>
    <t>Production Pilot</t>
  </si>
  <si>
    <t>Pre-production testing</t>
  </si>
  <si>
    <t>Section</t>
  </si>
  <si>
    <t>Reference/Link</t>
  </si>
  <si>
    <t>Action Required</t>
  </si>
  <si>
    <t>OVERVIEW</t>
  </si>
  <si>
    <t>Purpose</t>
  </si>
  <si>
    <t>AWS AgentCore cost model with vector and graph databases</t>
  </si>
  <si>
    <t>README.md</t>
  </si>
  <si>
    <t>No action</t>
  </si>
  <si>
    <t>Scope</t>
  </si>
  <si>
    <t>Learning, experimentation, PoC development with AI knowledge</t>
  </si>
  <si>
    <t>AI project charter</t>
  </si>
  <si>
    <t>Audience</t>
  </si>
  <si>
    <t>IT architects, finance teams, AI project managers</t>
  </si>
  <si>
    <t>Stakeholder list</t>
  </si>
  <si>
    <t>2025-10-17</t>
  </si>
  <si>
    <t>Version control</t>
  </si>
  <si>
    <t>Update monthly</t>
  </si>
  <si>
    <t>KEY ASSUMPTIONS</t>
  </si>
  <si>
    <t>Sandbox/development with vector and graph capabilities</t>
  </si>
  <si>
    <t>Assumptions worksheet</t>
  </si>
  <si>
    <t>Validate quarterly</t>
  </si>
  <si>
    <t>Usage Pattern</t>
  </si>
  <si>
    <t>Business hours, moderate usage, AI knowledge integration</t>
  </si>
  <si>
    <t>Usage analysis</t>
  </si>
  <si>
    <t>Monitor continuously</t>
  </si>
  <si>
    <t>Geographic Region</t>
  </si>
  <si>
    <t>US East (N. Virginia) - us-east-1</t>
  </si>
  <si>
    <t>AWS region selection</t>
  </si>
  <si>
    <t>Database Strategy</t>
  </si>
  <si>
    <t>Hybrid vector + graph database strategy</t>
  </si>
  <si>
    <t>Database selection guide</t>
  </si>
  <si>
    <t>Review database choices</t>
  </si>
  <si>
    <t>WORKSHEET DESCRIPTIONS</t>
  </si>
  <si>
    <t>Summary</t>
  </si>
  <si>
    <t>Executive dashboard with enhanced database cost breakdown</t>
  </si>
  <si>
    <t>Summary worksheet</t>
  </si>
  <si>
    <t>Update formulas as needed</t>
  </si>
  <si>
    <t>Assumptions</t>
  </si>
  <si>
    <t>Project parameters including vector/graph assumptions</t>
  </si>
  <si>
    <t>Review monthly</t>
  </si>
  <si>
    <t>AWS Pricing</t>
  </si>
  <si>
    <t>Current AWS service pricing including databases</t>
  </si>
  <si>
    <t>AWS Pricing worksheet</t>
  </si>
  <si>
    <t>Update quarterly</t>
  </si>
  <si>
    <t>Bill of Materials</t>
  </si>
  <si>
    <t>Detailed component quantities with database specifications</t>
  </si>
  <si>
    <t>Bill of Materials worksheet</t>
  </si>
  <si>
    <t>Calculations</t>
  </si>
  <si>
    <t>Cost formulas including database cost ratios</t>
  </si>
  <si>
    <t>Calculations worksheet</t>
  </si>
  <si>
    <t>Validate formulas</t>
  </si>
  <si>
    <t>Scenarios</t>
  </si>
  <si>
    <t>Multiple usage scenarios including database workloads</t>
  </si>
  <si>
    <t>Scenarios worksheet</t>
  </si>
  <si>
    <t>Add new scenarios</t>
  </si>
  <si>
    <t>Documentation</t>
  </si>
  <si>
    <t>This enhanced reference guide</t>
  </si>
  <si>
    <t>Documentation worksheet</t>
  </si>
  <si>
    <t>Update as needed</t>
  </si>
  <si>
    <t>VECTOR DATABASE STRATEGY</t>
  </si>
  <si>
    <t>S3 Vectors</t>
  </si>
  <si>
    <t>Cost-effective vector storage, 90% savings vs alternatives</t>
  </si>
  <si>
    <t>S3 Vectors documentation</t>
  </si>
  <si>
    <t>Evaluate for cost optimization</t>
  </si>
  <si>
    <t>OpenSearch Service</t>
  </si>
  <si>
    <t>Hybrid text + vector search, AWS native integration</t>
  </si>
  <si>
    <t>OpenSearch Service docs</t>
  </si>
  <si>
    <t>Consider for hybrid workloads</t>
  </si>
  <si>
    <t>Pinecone</t>
  </si>
  <si>
    <t>Pure vector search, best performance for vector workloads</t>
  </si>
  <si>
    <t>Pinecone documentation</t>
  </si>
  <si>
    <t>Evaluate for performance needs</t>
  </si>
  <si>
    <t>Use Case Guidance</t>
  </si>
  <si>
    <t>Use S3 Vectors for cost, OpenSearch for hybrid, Pinecone for performance</t>
  </si>
  <si>
    <t>Vector database comparison</t>
  </si>
  <si>
    <t>Document decision criteria</t>
  </si>
  <si>
    <t>GRAPH DATABASE STRATEGY</t>
  </si>
  <si>
    <t>Amazon Neptune</t>
  </si>
  <si>
    <t>Serverless graph database, GraphRAG integration</t>
  </si>
  <si>
    <t>Neptune documentation</t>
  </si>
  <si>
    <t>Plan GraphRAG integration</t>
  </si>
  <si>
    <t>Self-managed graph database for custom requirements</t>
  </si>
  <si>
    <t>Neo4j documentation</t>
  </si>
  <si>
    <t>Consider for custom graphs</t>
  </si>
  <si>
    <t>Knowledge graph RAG for enhanced AI responses</t>
  </si>
  <si>
    <t>GraphRAG best practices</t>
  </si>
  <si>
    <t>Implement GraphRAG</t>
  </si>
  <si>
    <t>Knowledge Graph Design</t>
  </si>
  <si>
    <t>Entity-relationship modeling for domain knowledge</t>
  </si>
  <si>
    <t>Knowledge graph design patterns</t>
  </si>
  <si>
    <t>Design knowledge model</t>
  </si>
  <si>
    <t>COST OPTIMIZATION TIPS</t>
  </si>
  <si>
    <t>Same-AZ Placement</t>
  </si>
  <si>
    <t>Deploy services in same AZ to avoid data transfer costs</t>
  </si>
  <si>
    <t>AWS Well-Architected Framework</t>
  </si>
  <si>
    <t>Implement as needed</t>
  </si>
  <si>
    <t>Vector Storage Optimization</t>
  </si>
  <si>
    <t>Use S3 Vectors for cold storage, OpenSearch for hot queries</t>
  </si>
  <si>
    <t>Vector optimization guide</t>
  </si>
  <si>
    <t>Monitor storage costs</t>
  </si>
  <si>
    <t>Graph Query Optimization</t>
  </si>
  <si>
    <t>Optimize graph query patterns and indexing strategies</t>
  </si>
  <si>
    <t>Graph performance tuning</t>
  </si>
  <si>
    <t>Optimize query performance</t>
  </si>
  <si>
    <t>Resource Right-sizing</t>
  </si>
  <si>
    <t>Size instances based on actual vector/graph workloads</t>
  </si>
  <si>
    <t>Database monitoring</t>
  </si>
  <si>
    <t>Monitor and adjust</t>
  </si>
  <si>
    <t>Scheduled Scaling</t>
  </si>
  <si>
    <t>Scale down databases during off-hours</t>
  </si>
  <si>
    <t>Auto Scaling</t>
  </si>
  <si>
    <t>Configure as needed</t>
  </si>
  <si>
    <t>Database Selection</t>
  </si>
  <si>
    <t>Choose appropriate database for workload characteristics</t>
  </si>
  <si>
    <t>Database selection matrix</t>
  </si>
  <si>
    <t>Evaluate database fit</t>
  </si>
  <si>
    <t>Caching Strategy</t>
  </si>
  <si>
    <t>Implement vector and graph result caching</t>
  </si>
  <si>
    <t>Caching best practices</t>
  </si>
  <si>
    <t>DATA SOURCES</t>
  </si>
  <si>
    <t>AWS Pricing Calculator</t>
  </si>
  <si>
    <t>https://calculator.aws/</t>
  </si>
  <si>
    <t>AWS Calculator</t>
  </si>
  <si>
    <t>Bookmark for reference</t>
  </si>
  <si>
    <t>Vector Database Pricing</t>
  </si>
  <si>
    <t>Vector database vendor pricing pages</t>
  </si>
  <si>
    <t>Vector DB pricing</t>
  </si>
  <si>
    <t>Research pricing models</t>
  </si>
  <si>
    <t>Graph Database Pricing</t>
  </si>
  <si>
    <t>Neptune and Neo4j pricing documentation</t>
  </si>
  <si>
    <t>Graph DB pricing</t>
  </si>
  <si>
    <t>Compare alternatives</t>
  </si>
  <si>
    <t>AgentCore Documentation</t>
  </si>
  <si>
    <t>AWS AgentCore service documentation</t>
  </si>
  <si>
    <t>AgentCore docs</t>
  </si>
  <si>
    <t>MAINTENANCE</t>
  </si>
  <si>
    <t>Monthly Review</t>
  </si>
  <si>
    <t>Review actual vs. estimated costs and database usage</t>
  </si>
  <si>
    <t>Cost analysis report</t>
  </si>
  <si>
    <t>Schedule monthly</t>
  </si>
  <si>
    <t>Quarterly Adjustment</t>
  </si>
  <si>
    <t>Adjust database assumptions based on usage patterns</t>
  </si>
  <si>
    <t>Growth planning</t>
  </si>
  <si>
    <t>Schedule quarterly</t>
  </si>
  <si>
    <t>Annual Planning</t>
  </si>
  <si>
    <t>Plan for vector/graph storage growth and optimization</t>
  </si>
  <si>
    <t>Budget planning</t>
  </si>
  <si>
    <t>Schedule annually</t>
  </si>
  <si>
    <t>Price Updates</t>
  </si>
  <si>
    <t>Update database pricing data quarterly</t>
  </si>
  <si>
    <t>Price monitoring</t>
  </si>
  <si>
    <t>Set alerts</t>
  </si>
  <si>
    <t>Claude Sonnet 4</t>
  </si>
  <si>
    <t>Development / learning environment</t>
  </si>
  <si>
    <t>Formula / Value</t>
  </si>
  <si>
    <t>Sessions / Month</t>
  </si>
  <si>
    <t>Operations / Month</t>
  </si>
  <si>
    <t>Resource</t>
  </si>
  <si>
    <t>Variant</t>
  </si>
  <si>
    <t>Runtime</t>
  </si>
  <si>
    <t>Consumption based</t>
  </si>
  <si>
    <t>CPU</t>
  </si>
  <si>
    <t>Default</t>
  </si>
  <si>
    <t>vCPU-hour</t>
  </si>
  <si>
    <t>Memory</t>
  </si>
  <si>
    <t>GB-hour</t>
  </si>
  <si>
    <t>Browser Tool</t>
  </si>
  <si>
    <t>Consumption Based</t>
  </si>
  <si>
    <t>Code Interpreter</t>
  </si>
  <si>
    <t>Gateway</t>
  </si>
  <si>
    <t>API Invocations (ListTools, InvokeTool, Ping)</t>
  </si>
  <si>
    <t>1,000 invocations</t>
  </si>
  <si>
    <t>Search API</t>
  </si>
  <si>
    <t>100 tools indexed per month</t>
  </si>
  <si>
    <t>Identity</t>
  </si>
  <si>
    <t>Token or API key requests for non-AWS resources</t>
  </si>
  <si>
    <t>1,000 token or API keys requested by the agent</t>
  </si>
  <si>
    <t>AgentCore Identity is available at no additional charge to customers when they use it through either AgentCore Runtime or AgentCore Gateway.</t>
  </si>
  <si>
    <t>Short-Term Memory</t>
  </si>
  <si>
    <t>1,000 new events</t>
  </si>
  <si>
    <t>Long-Term Memory Storage</t>
  </si>
  <si>
    <t>Using built-in memory strategies</t>
  </si>
  <si>
    <t>1000 memory records stored per month</t>
  </si>
  <si>
    <t>Using built-in with override or self-managed memory strategies</t>
  </si>
  <si>
    <t>1000 memory records stored per month.</t>
  </si>
  <si>
    <t>For built-in with override and self-managed strategies, you may incur additional charges for the model usage in your account.</t>
  </si>
  <si>
    <t>Long-Term Memory Retrieval</t>
  </si>
  <si>
    <t>1000 memory record retrievals</t>
  </si>
  <si>
    <t>Observability</t>
  </si>
  <si>
    <t>Price (USD)</t>
  </si>
  <si>
    <t>Bedrock Claude Sonnet 4</t>
  </si>
  <si>
    <t>Bedrock Claude Opus 4</t>
  </si>
  <si>
    <t>MongoDb Managed Service</t>
  </si>
  <si>
    <t>Graph Database</t>
  </si>
  <si>
    <t>Compute</t>
  </si>
  <si>
    <t>Integration</t>
  </si>
  <si>
    <t>Networking</t>
  </si>
  <si>
    <t>Knowledge</t>
  </si>
  <si>
    <t>Pricing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</si>
</sst>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232B37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theme="7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auto="1"/>
      </top>
      <bottom style="thin">
        <color theme="7"/>
      </bottom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 style="thin">
        <color theme="7"/>
      </right>
      <top style="thin">
        <color auto="1"/>
      </top>
      <bottom style="thin">
        <color theme="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72" fontId="8" fillId="0" borderId="1" xfId="0" applyNumberFormat="1" applyFont="1" applyBorder="1" applyAlignment="1">
      <alignment horizontal="center" vertical="top" wrapText="1"/>
    </xf>
    <xf numFmtId="172" fontId="4" fillId="0" borderId="0" xfId="0" applyNumberFormat="1" applyFont="1" applyAlignment="1">
      <alignment horizontal="center" vertical="top" wrapText="1"/>
    </xf>
    <xf numFmtId="172" fontId="7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WS-AgentCore-Cost-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AWS Pricing"/>
      <sheetName val="Bill of Materials"/>
      <sheetName val="Calculations"/>
      <sheetName val="Scenarios"/>
      <sheetName val="Documentation"/>
      <sheetName val="AWS_Pricing"/>
    </sheetNames>
    <sheetDataSet>
      <sheetData sheetId="0"/>
      <sheetData sheetId="1"/>
      <sheetData sheetId="2">
        <row r="1">
          <cell r="E1" t="str">
            <v>Region</v>
          </cell>
        </row>
        <row r="2">
          <cell r="E2" t="str">
            <v>us-east-1</v>
          </cell>
        </row>
        <row r="3">
          <cell r="E3" t="str">
            <v>us-east-1</v>
          </cell>
        </row>
        <row r="4">
          <cell r="E4" t="str">
            <v>us-east-1</v>
          </cell>
        </row>
        <row r="5">
          <cell r="E5" t="str">
            <v>us-east-1</v>
          </cell>
        </row>
        <row r="6">
          <cell r="E6" t="str">
            <v>us-east-1</v>
          </cell>
        </row>
        <row r="13">
          <cell r="E13" t="str">
            <v>us-east-1</v>
          </cell>
        </row>
        <row r="14">
          <cell r="E14" t="str">
            <v>us-east-1</v>
          </cell>
        </row>
        <row r="15">
          <cell r="E15" t="str">
            <v>us-east-1</v>
          </cell>
        </row>
        <row r="16">
          <cell r="E16" t="str">
            <v>us-east-1</v>
          </cell>
        </row>
        <row r="19">
          <cell r="E19" t="str">
            <v>us-east-1</v>
          </cell>
        </row>
        <row r="20">
          <cell r="E20" t="str">
            <v>us-east-1</v>
          </cell>
        </row>
        <row r="21">
          <cell r="E21" t="str">
            <v>us-east-1</v>
          </cell>
        </row>
        <row r="22">
          <cell r="E22" t="str">
            <v>us-east-1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16" sqref="C16"/>
    </sheetView>
  </sheetViews>
  <sheetFormatPr defaultRowHeight="15" x14ac:dyDescent="0.25"/>
  <cols>
    <col min="1" max="1" width="32.5703125" style="2" customWidth="1"/>
    <col min="2" max="2" width="29.85546875" style="2" customWidth="1"/>
    <col min="3" max="3" width="18.28515625" style="2" customWidth="1"/>
    <col min="4" max="4" width="43.7109375" style="2" customWidth="1"/>
    <col min="5" max="10" width="18.285156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e">
        <f>Calculations!B2</f>
        <v>#VALUE!</v>
      </c>
      <c r="C2" s="2" t="e">
        <f t="shared" ref="C2:C10" si="0">B1/$B$10*100</f>
        <v>#VALUE!</v>
      </c>
      <c r="D2" s="2" t="s">
        <v>5</v>
      </c>
    </row>
    <row r="3" spans="1:4" x14ac:dyDescent="0.25">
      <c r="A3" s="2" t="s">
        <v>6</v>
      </c>
      <c r="B3" s="2" t="e">
        <f>Calculations!B3</f>
        <v>#REF!</v>
      </c>
      <c r="C3" s="2" t="e">
        <f t="shared" si="0"/>
        <v>#VALUE!</v>
      </c>
      <c r="D3" s="2" t="s">
        <v>7</v>
      </c>
    </row>
    <row r="4" spans="1:4" x14ac:dyDescent="0.25">
      <c r="A4" s="2" t="s">
        <v>8</v>
      </c>
      <c r="B4" s="2" t="e">
        <f>Calculations!B4</f>
        <v>#REF!</v>
      </c>
      <c r="C4" s="2" t="e">
        <f t="shared" si="0"/>
        <v>#REF!</v>
      </c>
      <c r="D4" s="2" t="s">
        <v>9</v>
      </c>
    </row>
    <row r="5" spans="1:4" x14ac:dyDescent="0.25">
      <c r="A5" s="2" t="s">
        <v>10</v>
      </c>
      <c r="B5" s="2" t="e">
        <f>Calculations!B5</f>
        <v>#REF!</v>
      </c>
      <c r="C5" s="2" t="e">
        <f t="shared" si="0"/>
        <v>#REF!</v>
      </c>
      <c r="D5" s="2" t="s">
        <v>11</v>
      </c>
    </row>
    <row r="6" spans="1:4" x14ac:dyDescent="0.25">
      <c r="A6" s="2" t="s">
        <v>12</v>
      </c>
      <c r="B6" s="2" t="e">
        <f>Calculations!B6</f>
        <v>#REF!</v>
      </c>
      <c r="C6" s="2" t="e">
        <f t="shared" si="0"/>
        <v>#REF!</v>
      </c>
      <c r="D6" s="2" t="s">
        <v>13</v>
      </c>
    </row>
    <row r="7" spans="1:4" x14ac:dyDescent="0.25">
      <c r="A7" s="2" t="s">
        <v>14</v>
      </c>
      <c r="B7" s="2" t="e">
        <f>Calculations!B7</f>
        <v>#REF!</v>
      </c>
      <c r="C7" s="2" t="e">
        <f t="shared" si="0"/>
        <v>#REF!</v>
      </c>
      <c r="D7" s="2" t="s">
        <v>15</v>
      </c>
    </row>
    <row r="8" spans="1:4" x14ac:dyDescent="0.25">
      <c r="A8" s="2" t="s">
        <v>16</v>
      </c>
      <c r="B8" s="2" t="e">
        <f>Calculations!B8</f>
        <v>#REF!</v>
      </c>
      <c r="C8" s="2" t="e">
        <f t="shared" si="0"/>
        <v>#REF!</v>
      </c>
      <c r="D8" s="2" t="s">
        <v>17</v>
      </c>
    </row>
    <row r="9" spans="1:4" ht="30" x14ac:dyDescent="0.25">
      <c r="A9" s="2" t="s">
        <v>18</v>
      </c>
      <c r="B9" s="2" t="e">
        <f>Calculations!B9</f>
        <v>#REF!</v>
      </c>
      <c r="C9" s="2" t="e">
        <f t="shared" si="0"/>
        <v>#REF!</v>
      </c>
      <c r="D9" s="2" t="s">
        <v>19</v>
      </c>
    </row>
    <row r="10" spans="1:4" x14ac:dyDescent="0.25">
      <c r="A10" s="2" t="s">
        <v>20</v>
      </c>
      <c r="B10" s="2" t="e">
        <f>Calculations!B10</f>
        <v>#REF!</v>
      </c>
      <c r="C10" s="2" t="e">
        <f t="shared" si="0"/>
        <v>#REF!</v>
      </c>
      <c r="D10" s="2" t="s">
        <v>21</v>
      </c>
    </row>
    <row r="11" spans="1:4" x14ac:dyDescent="0.25">
      <c r="A11" s="2" t="s">
        <v>22</v>
      </c>
      <c r="B11" s="2" t="e">
        <f>SUM(B1:B9)</f>
        <v>#VALUE!</v>
      </c>
      <c r="C11" s="2" t="s">
        <v>23</v>
      </c>
      <c r="D11" s="2" t="s">
        <v>24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showGridLines="0" topLeftCell="A6" workbookViewId="0">
      <selection activeCell="B39" sqref="B39"/>
    </sheetView>
  </sheetViews>
  <sheetFormatPr defaultRowHeight="15" x14ac:dyDescent="0.25"/>
  <cols>
    <col min="1" max="1" width="35.5703125" style="22" customWidth="1"/>
    <col min="2" max="2" width="25.28515625" style="23" customWidth="1"/>
    <col min="3" max="3" width="20.85546875" style="22" customWidth="1"/>
    <col min="4" max="4" width="44.28515625" style="22" customWidth="1"/>
    <col min="5" max="9" width="9.140625" style="2"/>
  </cols>
  <sheetData>
    <row r="1" spans="1:4" x14ac:dyDescent="0.25">
      <c r="A1" s="3" t="s">
        <v>25</v>
      </c>
      <c r="B1" s="3" t="s">
        <v>26</v>
      </c>
      <c r="C1" s="3" t="s">
        <v>27</v>
      </c>
      <c r="D1" s="4" t="s">
        <v>28</v>
      </c>
    </row>
    <row r="2" spans="1:4" x14ac:dyDescent="0.25">
      <c r="A2" s="5" t="s">
        <v>29</v>
      </c>
      <c r="B2" s="6"/>
      <c r="C2" s="6"/>
      <c r="D2" s="7"/>
    </row>
    <row r="3" spans="1:4" x14ac:dyDescent="0.25">
      <c r="A3" s="8" t="s">
        <v>30</v>
      </c>
      <c r="B3" s="9">
        <v>10</v>
      </c>
      <c r="C3" s="10" t="s">
        <v>31</v>
      </c>
      <c r="D3" s="11" t="s">
        <v>32</v>
      </c>
    </row>
    <row r="4" spans="1:4" x14ac:dyDescent="0.25">
      <c r="A4" s="8" t="s">
        <v>33</v>
      </c>
      <c r="B4" s="9">
        <v>8</v>
      </c>
      <c r="C4" s="10" t="s">
        <v>34</v>
      </c>
      <c r="D4" s="11" t="s">
        <v>35</v>
      </c>
    </row>
    <row r="5" spans="1:4" x14ac:dyDescent="0.25">
      <c r="A5" s="8" t="s">
        <v>36</v>
      </c>
      <c r="B5" s="9">
        <v>22</v>
      </c>
      <c r="C5" s="10" t="s">
        <v>37</v>
      </c>
      <c r="D5" s="11" t="s">
        <v>38</v>
      </c>
    </row>
    <row r="6" spans="1:4" x14ac:dyDescent="0.25">
      <c r="A6" s="8" t="s">
        <v>39</v>
      </c>
      <c r="B6" s="9">
        <v>3</v>
      </c>
      <c r="C6" s="10" t="s">
        <v>40</v>
      </c>
      <c r="D6" s="11" t="s">
        <v>41</v>
      </c>
    </row>
    <row r="7" spans="1:4" x14ac:dyDescent="0.25">
      <c r="A7" s="8" t="s">
        <v>42</v>
      </c>
      <c r="B7" s="9">
        <v>120</v>
      </c>
      <c r="C7" s="10" t="s">
        <v>43</v>
      </c>
      <c r="D7" s="11" t="s">
        <v>44</v>
      </c>
    </row>
    <row r="8" spans="1:4" x14ac:dyDescent="0.25">
      <c r="A8" s="8" t="s">
        <v>45</v>
      </c>
      <c r="B8" s="9">
        <v>5</v>
      </c>
      <c r="C8" s="10" t="s">
        <v>46</v>
      </c>
      <c r="D8" s="11" t="s">
        <v>47</v>
      </c>
    </row>
    <row r="9" spans="1:4" x14ac:dyDescent="0.25">
      <c r="A9" s="8" t="s">
        <v>48</v>
      </c>
      <c r="B9" s="9">
        <v>10</v>
      </c>
      <c r="C9" s="10" t="s">
        <v>49</v>
      </c>
      <c r="D9" s="11" t="s">
        <v>50</v>
      </c>
    </row>
    <row r="10" spans="1:4" x14ac:dyDescent="0.25">
      <c r="A10" s="12" t="s">
        <v>51</v>
      </c>
      <c r="B10" s="13"/>
      <c r="C10" s="13"/>
      <c r="D10" s="14"/>
    </row>
    <row r="11" spans="1:4" x14ac:dyDescent="0.25">
      <c r="A11" s="8" t="s">
        <v>510</v>
      </c>
      <c r="B11" s="9">
        <v>40</v>
      </c>
      <c r="C11" s="10" t="s">
        <v>53</v>
      </c>
      <c r="D11" s="11" t="s">
        <v>54</v>
      </c>
    </row>
    <row r="12" spans="1:4" x14ac:dyDescent="0.25">
      <c r="A12" s="8" t="s">
        <v>55</v>
      </c>
      <c r="B12" s="9">
        <v>30</v>
      </c>
      <c r="C12" s="10" t="s">
        <v>53</v>
      </c>
      <c r="D12" s="11" t="s">
        <v>54</v>
      </c>
    </row>
    <row r="13" spans="1:4" x14ac:dyDescent="0.25">
      <c r="A13" s="8" t="s">
        <v>56</v>
      </c>
      <c r="B13" s="9">
        <v>20</v>
      </c>
      <c r="C13" s="10" t="s">
        <v>53</v>
      </c>
      <c r="D13" s="11" t="s">
        <v>54</v>
      </c>
    </row>
    <row r="14" spans="1:4" x14ac:dyDescent="0.25">
      <c r="A14" s="8" t="s">
        <v>57</v>
      </c>
      <c r="B14" s="9">
        <v>10</v>
      </c>
      <c r="C14" s="10" t="s">
        <v>53</v>
      </c>
      <c r="D14" s="11" t="s">
        <v>54</v>
      </c>
    </row>
    <row r="15" spans="1:4" x14ac:dyDescent="0.25">
      <c r="A15" s="8" t="s">
        <v>58</v>
      </c>
      <c r="B15" s="9">
        <v>500</v>
      </c>
      <c r="C15" s="10" t="s">
        <v>59</v>
      </c>
      <c r="D15" s="11" t="s">
        <v>60</v>
      </c>
    </row>
    <row r="16" spans="1:4" x14ac:dyDescent="0.25">
      <c r="A16" s="8" t="s">
        <v>61</v>
      </c>
      <c r="B16" s="9">
        <v>300</v>
      </c>
      <c r="C16" s="10" t="s">
        <v>59</v>
      </c>
      <c r="D16" s="11" t="s">
        <v>62</v>
      </c>
    </row>
    <row r="17" spans="1:4" x14ac:dyDescent="0.25">
      <c r="A17" s="15" t="s">
        <v>63</v>
      </c>
      <c r="B17" s="16"/>
      <c r="C17" s="16"/>
      <c r="D17" s="17"/>
    </row>
    <row r="18" spans="1:4" x14ac:dyDescent="0.25">
      <c r="A18" s="8" t="s">
        <v>64</v>
      </c>
      <c r="B18" s="9">
        <v>1536</v>
      </c>
      <c r="C18" s="10" t="s">
        <v>65</v>
      </c>
      <c r="D18" s="11" t="s">
        <v>66</v>
      </c>
    </row>
    <row r="19" spans="1:4" x14ac:dyDescent="0.25">
      <c r="A19" s="8" t="s">
        <v>67</v>
      </c>
      <c r="B19" s="9">
        <v>1000</v>
      </c>
      <c r="C19" s="10" t="s">
        <v>68</v>
      </c>
      <c r="D19" s="11" t="s">
        <v>69</v>
      </c>
    </row>
    <row r="20" spans="1:4" x14ac:dyDescent="0.25">
      <c r="A20" s="8" t="s">
        <v>70</v>
      </c>
      <c r="B20" s="9">
        <v>20</v>
      </c>
      <c r="C20" s="10" t="s">
        <v>71</v>
      </c>
      <c r="D20" s="11" t="s">
        <v>72</v>
      </c>
    </row>
    <row r="21" spans="1:4" x14ac:dyDescent="0.25">
      <c r="A21" s="8" t="s">
        <v>73</v>
      </c>
      <c r="B21" s="9">
        <v>2</v>
      </c>
      <c r="C21" s="10" t="s">
        <v>74</v>
      </c>
      <c r="D21" s="11" t="s">
        <v>75</v>
      </c>
    </row>
    <row r="22" spans="1:4" x14ac:dyDescent="0.25">
      <c r="A22" s="8" t="s">
        <v>76</v>
      </c>
      <c r="B22" s="9" t="s">
        <v>77</v>
      </c>
      <c r="C22" s="10" t="s">
        <v>78</v>
      </c>
      <c r="D22" s="11" t="s">
        <v>79</v>
      </c>
    </row>
    <row r="23" spans="1:4" x14ac:dyDescent="0.25">
      <c r="A23" s="8" t="s">
        <v>80</v>
      </c>
      <c r="B23" s="9" t="s">
        <v>81</v>
      </c>
      <c r="C23" s="10" t="s">
        <v>82</v>
      </c>
      <c r="D23" s="11" t="s">
        <v>83</v>
      </c>
    </row>
    <row r="24" spans="1:4" x14ac:dyDescent="0.25">
      <c r="A24" s="12" t="s">
        <v>84</v>
      </c>
      <c r="B24" s="13"/>
      <c r="C24" s="13"/>
      <c r="D24" s="14"/>
    </row>
    <row r="25" spans="1:4" x14ac:dyDescent="0.25">
      <c r="A25" s="8" t="s">
        <v>85</v>
      </c>
      <c r="B25" s="9">
        <v>50</v>
      </c>
      <c r="C25" s="10" t="s">
        <v>86</v>
      </c>
      <c r="D25" s="11" t="s">
        <v>87</v>
      </c>
    </row>
    <row r="26" spans="1:4" x14ac:dyDescent="0.25">
      <c r="A26" s="8" t="s">
        <v>88</v>
      </c>
      <c r="B26" s="9">
        <v>3</v>
      </c>
      <c r="C26" s="10" t="s">
        <v>89</v>
      </c>
      <c r="D26" s="11" t="s">
        <v>90</v>
      </c>
    </row>
    <row r="27" spans="1:4" x14ac:dyDescent="0.25">
      <c r="A27" s="8" t="s">
        <v>91</v>
      </c>
      <c r="B27" s="9">
        <v>1</v>
      </c>
      <c r="C27" s="10" t="s">
        <v>74</v>
      </c>
      <c r="D27" s="11" t="s">
        <v>92</v>
      </c>
    </row>
    <row r="28" spans="1:4" x14ac:dyDescent="0.25">
      <c r="A28" s="8" t="s">
        <v>93</v>
      </c>
      <c r="B28" s="9">
        <v>4</v>
      </c>
      <c r="C28" s="10" t="s">
        <v>94</v>
      </c>
      <c r="D28" s="11" t="s">
        <v>95</v>
      </c>
    </row>
    <row r="29" spans="1:4" x14ac:dyDescent="0.25">
      <c r="A29" s="8" t="s">
        <v>96</v>
      </c>
      <c r="B29" s="9" t="s">
        <v>97</v>
      </c>
      <c r="C29" s="10" t="s">
        <v>98</v>
      </c>
      <c r="D29" s="11" t="s">
        <v>99</v>
      </c>
    </row>
    <row r="30" spans="1:4" x14ac:dyDescent="0.25">
      <c r="A30" s="8" t="s">
        <v>100</v>
      </c>
      <c r="B30" s="9" t="s">
        <v>101</v>
      </c>
      <c r="C30" s="10" t="s">
        <v>102</v>
      </c>
      <c r="D30" s="11" t="s">
        <v>103</v>
      </c>
    </row>
    <row r="31" spans="1:4" x14ac:dyDescent="0.25">
      <c r="A31" s="15" t="s">
        <v>104</v>
      </c>
      <c r="B31" s="16"/>
      <c r="C31" s="16"/>
      <c r="D31" s="17"/>
    </row>
    <row r="32" spans="1:4" x14ac:dyDescent="0.25">
      <c r="A32" s="8" t="s">
        <v>105</v>
      </c>
      <c r="B32" s="9">
        <v>0.5</v>
      </c>
      <c r="C32" s="10" t="s">
        <v>106</v>
      </c>
      <c r="D32" s="11" t="s">
        <v>107</v>
      </c>
    </row>
    <row r="33" spans="1:4" x14ac:dyDescent="0.25">
      <c r="A33" s="8" t="s">
        <v>108</v>
      </c>
      <c r="B33" s="9">
        <v>1</v>
      </c>
      <c r="C33" s="10" t="s">
        <v>109</v>
      </c>
      <c r="D33" s="11" t="s">
        <v>110</v>
      </c>
    </row>
    <row r="34" spans="1:4" x14ac:dyDescent="0.25">
      <c r="A34" s="8" t="s">
        <v>111</v>
      </c>
      <c r="B34" s="9">
        <v>5</v>
      </c>
      <c r="C34" s="10" t="s">
        <v>109</v>
      </c>
      <c r="D34" s="11" t="s">
        <v>112</v>
      </c>
    </row>
    <row r="35" spans="1:4" x14ac:dyDescent="0.25">
      <c r="A35" s="8" t="s">
        <v>113</v>
      </c>
      <c r="B35" s="9">
        <v>30</v>
      </c>
      <c r="C35" s="10" t="s">
        <v>37</v>
      </c>
      <c r="D35" s="11" t="s">
        <v>114</v>
      </c>
    </row>
    <row r="36" spans="1:4" x14ac:dyDescent="0.25">
      <c r="A36" s="8" t="s">
        <v>115</v>
      </c>
      <c r="B36" s="9" t="s">
        <v>116</v>
      </c>
      <c r="C36" s="10" t="s">
        <v>117</v>
      </c>
      <c r="D36" s="11" t="s">
        <v>118</v>
      </c>
    </row>
    <row r="37" spans="1:4" x14ac:dyDescent="0.25">
      <c r="A37" s="8" t="s">
        <v>119</v>
      </c>
      <c r="B37" s="9">
        <v>2</v>
      </c>
      <c r="C37" s="10" t="s">
        <v>120</v>
      </c>
      <c r="D37" s="11" t="s">
        <v>121</v>
      </c>
    </row>
    <row r="38" spans="1:4" x14ac:dyDescent="0.25">
      <c r="A38" s="8" t="s">
        <v>122</v>
      </c>
      <c r="B38" s="9" t="s">
        <v>123</v>
      </c>
      <c r="C38" s="10" t="s">
        <v>124</v>
      </c>
      <c r="D38" s="11" t="s">
        <v>125</v>
      </c>
    </row>
    <row r="39" spans="1:4" x14ac:dyDescent="0.25">
      <c r="A39" s="18" t="s">
        <v>126</v>
      </c>
      <c r="B39" s="19" t="s">
        <v>127</v>
      </c>
      <c r="C39" s="20" t="s">
        <v>128</v>
      </c>
      <c r="D39" s="21" t="s">
        <v>511</v>
      </c>
    </row>
  </sheetData>
  <mergeCells count="5">
    <mergeCell ref="A2:D2"/>
    <mergeCell ref="A10:D10"/>
    <mergeCell ref="A17:D17"/>
    <mergeCell ref="A24:D24"/>
    <mergeCell ref="A31:D31"/>
  </mergeCells>
  <pageMargins left="0.7" right="0.7" top="0.75" bottom="0.75" header="0.3" footer="0.3"/>
  <pageSetup paperSize="9" orientation="landscape" r:id="rId1"/>
  <headerFooter>
    <oddHeader>&amp;C&amp;"Calibri"&amp;10&amp;K000000 PRIVATE&amp;1#_x000D_</oddHeader>
    <oddFooter>&amp;C_x000D_&amp;1#&amp;"Calibri"&amp;10&amp;K000000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topLeftCell="A28" workbookViewId="0">
      <selection activeCell="B51" sqref="B51"/>
    </sheetView>
  </sheetViews>
  <sheetFormatPr defaultRowHeight="15" x14ac:dyDescent="0.25"/>
  <cols>
    <col min="1" max="1" width="20.140625" style="22" customWidth="1"/>
    <col min="2" max="2" width="20.28515625" style="22" customWidth="1"/>
    <col min="3" max="3" width="26.42578125" style="22" customWidth="1"/>
    <col min="4" max="5" width="20.28515625" style="22" customWidth="1"/>
    <col min="6" max="6" width="16.28515625" style="22" customWidth="1"/>
    <col min="7" max="7" width="11.140625" style="22" customWidth="1"/>
    <col min="8" max="8" width="13" style="29" customWidth="1"/>
    <col min="9" max="9" width="12.85546875" style="22" customWidth="1"/>
    <col min="10" max="10" width="42" style="22" customWidth="1"/>
  </cols>
  <sheetData>
    <row r="1" spans="1:10" x14ac:dyDescent="0.25">
      <c r="A1" s="27" t="s">
        <v>25</v>
      </c>
      <c r="B1" s="27" t="s">
        <v>129</v>
      </c>
      <c r="C1" s="25" t="s">
        <v>515</v>
      </c>
      <c r="D1" s="25" t="s">
        <v>128</v>
      </c>
      <c r="E1" s="25" t="s">
        <v>516</v>
      </c>
      <c r="F1" s="27" t="s">
        <v>556</v>
      </c>
      <c r="G1" s="27" t="s">
        <v>117</v>
      </c>
      <c r="H1" s="28" t="s">
        <v>547</v>
      </c>
      <c r="I1" s="27" t="s">
        <v>130</v>
      </c>
      <c r="J1" s="27" t="s">
        <v>3</v>
      </c>
    </row>
    <row r="2" spans="1:10" x14ac:dyDescent="0.25">
      <c r="A2" s="24" t="s">
        <v>4</v>
      </c>
      <c r="B2" s="26" t="s">
        <v>517</v>
      </c>
      <c r="C2" s="26" t="s">
        <v>519</v>
      </c>
      <c r="D2" s="26" t="s">
        <v>518</v>
      </c>
      <c r="E2" s="26" t="s">
        <v>520</v>
      </c>
      <c r="F2" s="26" t="s">
        <v>521</v>
      </c>
      <c r="G2" s="22" t="s">
        <v>116</v>
      </c>
      <c r="H2" s="30">
        <v>8.9499999999999996E-2</v>
      </c>
      <c r="J2" s="24"/>
    </row>
    <row r="3" spans="1:10" x14ac:dyDescent="0.25">
      <c r="A3" s="24" t="s">
        <v>4</v>
      </c>
      <c r="B3" s="26" t="s">
        <v>517</v>
      </c>
      <c r="C3" s="26" t="s">
        <v>522</v>
      </c>
      <c r="D3" s="26" t="s">
        <v>518</v>
      </c>
      <c r="E3" s="26" t="s">
        <v>520</v>
      </c>
      <c r="F3" s="26" t="s">
        <v>523</v>
      </c>
      <c r="G3" s="22" t="s">
        <v>116</v>
      </c>
      <c r="H3" s="30">
        <v>9.4500000000000001E-3</v>
      </c>
      <c r="J3" s="24"/>
    </row>
    <row r="4" spans="1:10" x14ac:dyDescent="0.25">
      <c r="A4" s="24" t="s">
        <v>4</v>
      </c>
      <c r="B4" s="26" t="s">
        <v>524</v>
      </c>
      <c r="C4" s="26" t="s">
        <v>519</v>
      </c>
      <c r="D4" s="26" t="s">
        <v>525</v>
      </c>
      <c r="E4" s="26" t="s">
        <v>520</v>
      </c>
      <c r="F4" s="26" t="s">
        <v>521</v>
      </c>
      <c r="G4" s="22" t="s">
        <v>116</v>
      </c>
      <c r="H4" s="30">
        <v>8.9499999999999996E-2</v>
      </c>
      <c r="J4" s="24"/>
    </row>
    <row r="5" spans="1:10" x14ac:dyDescent="0.25">
      <c r="A5" s="24" t="s">
        <v>4</v>
      </c>
      <c r="B5" s="26" t="s">
        <v>524</v>
      </c>
      <c r="C5" s="26" t="s">
        <v>522</v>
      </c>
      <c r="D5" s="26" t="s">
        <v>525</v>
      </c>
      <c r="E5" s="26" t="s">
        <v>520</v>
      </c>
      <c r="F5" s="26" t="s">
        <v>523</v>
      </c>
      <c r="G5" s="22" t="s">
        <v>116</v>
      </c>
      <c r="H5" s="30">
        <v>9.4500000000000001E-3</v>
      </c>
      <c r="J5" s="24"/>
    </row>
    <row r="6" spans="1:10" x14ac:dyDescent="0.25">
      <c r="A6" s="24" t="s">
        <v>4</v>
      </c>
      <c r="B6" s="26" t="s">
        <v>526</v>
      </c>
      <c r="C6" s="26" t="s">
        <v>519</v>
      </c>
      <c r="D6" s="26" t="s">
        <v>525</v>
      </c>
      <c r="E6" s="26" t="s">
        <v>520</v>
      </c>
      <c r="F6" s="26" t="s">
        <v>521</v>
      </c>
      <c r="G6" s="22" t="s">
        <v>116</v>
      </c>
      <c r="H6" s="30">
        <v>8.9499999999999996E-2</v>
      </c>
      <c r="J6" s="24"/>
    </row>
    <row r="7" spans="1:10" x14ac:dyDescent="0.25">
      <c r="A7" s="24" t="s">
        <v>4</v>
      </c>
      <c r="B7" s="26" t="s">
        <v>526</v>
      </c>
      <c r="C7" s="26" t="s">
        <v>522</v>
      </c>
      <c r="D7" s="26" t="s">
        <v>525</v>
      </c>
      <c r="E7" s="26" t="s">
        <v>520</v>
      </c>
      <c r="F7" s="26" t="s">
        <v>523</v>
      </c>
      <c r="G7" s="22" t="s">
        <v>116</v>
      </c>
      <c r="H7" s="30">
        <v>9.4500000000000001E-3</v>
      </c>
      <c r="J7" s="24"/>
    </row>
    <row r="8" spans="1:10" ht="25.5" x14ac:dyDescent="0.25">
      <c r="A8" s="24" t="s">
        <v>4</v>
      </c>
      <c r="B8" s="26" t="s">
        <v>527</v>
      </c>
      <c r="C8" s="26" t="s">
        <v>528</v>
      </c>
      <c r="D8" s="26" t="s">
        <v>525</v>
      </c>
      <c r="E8" s="26" t="s">
        <v>520</v>
      </c>
      <c r="F8" s="26" t="s">
        <v>529</v>
      </c>
      <c r="G8" s="22" t="s">
        <v>116</v>
      </c>
      <c r="H8" s="30">
        <v>5.0000000000000001E-3</v>
      </c>
      <c r="J8" s="24"/>
    </row>
    <row r="9" spans="1:10" x14ac:dyDescent="0.25">
      <c r="A9" s="24" t="s">
        <v>4</v>
      </c>
      <c r="B9" s="26" t="s">
        <v>527</v>
      </c>
      <c r="C9" s="26" t="s">
        <v>530</v>
      </c>
      <c r="D9" s="26" t="s">
        <v>525</v>
      </c>
      <c r="E9" s="26" t="s">
        <v>520</v>
      </c>
      <c r="F9" s="26" t="s">
        <v>529</v>
      </c>
      <c r="G9" s="22" t="s">
        <v>116</v>
      </c>
      <c r="H9" s="30">
        <v>2.5000000000000001E-2</v>
      </c>
      <c r="J9" s="24"/>
    </row>
    <row r="10" spans="1:10" ht="25.5" x14ac:dyDescent="0.25">
      <c r="A10" s="24" t="s">
        <v>4</v>
      </c>
      <c r="B10" s="26" t="s">
        <v>527</v>
      </c>
      <c r="C10" s="26" t="s">
        <v>136</v>
      </c>
      <c r="D10" s="26" t="s">
        <v>525</v>
      </c>
      <c r="E10" s="26" t="s">
        <v>520</v>
      </c>
      <c r="F10" s="26" t="s">
        <v>531</v>
      </c>
      <c r="G10" s="22" t="s">
        <v>116</v>
      </c>
      <c r="H10" s="30">
        <v>0.02</v>
      </c>
      <c r="J10" s="24"/>
    </row>
    <row r="11" spans="1:10" ht="38.25" x14ac:dyDescent="0.25">
      <c r="A11" s="24" t="s">
        <v>4</v>
      </c>
      <c r="B11" s="26" t="s">
        <v>532</v>
      </c>
      <c r="C11" s="26" t="s">
        <v>533</v>
      </c>
      <c r="D11" s="26" t="s">
        <v>525</v>
      </c>
      <c r="E11" s="26" t="s">
        <v>520</v>
      </c>
      <c r="F11" s="26" t="s">
        <v>534</v>
      </c>
      <c r="G11" s="22" t="s">
        <v>116</v>
      </c>
      <c r="H11" s="30">
        <v>0.01</v>
      </c>
      <c r="J11" s="26" t="s">
        <v>535</v>
      </c>
    </row>
    <row r="12" spans="1:10" x14ac:dyDescent="0.25">
      <c r="A12" s="24" t="s">
        <v>4</v>
      </c>
      <c r="B12" s="26" t="s">
        <v>522</v>
      </c>
      <c r="C12" s="26" t="s">
        <v>536</v>
      </c>
      <c r="D12" s="26" t="s">
        <v>525</v>
      </c>
      <c r="E12" s="26" t="s">
        <v>520</v>
      </c>
      <c r="F12" s="26" t="s">
        <v>537</v>
      </c>
      <c r="G12" s="22" t="s">
        <v>116</v>
      </c>
      <c r="H12" s="30">
        <v>0.25</v>
      </c>
      <c r="J12" s="24"/>
    </row>
    <row r="13" spans="1:10" ht="38.25" x14ac:dyDescent="0.25">
      <c r="A13" s="24" t="s">
        <v>4</v>
      </c>
      <c r="B13" s="26" t="s">
        <v>522</v>
      </c>
      <c r="C13" s="26" t="s">
        <v>538</v>
      </c>
      <c r="D13" s="26" t="s">
        <v>525</v>
      </c>
      <c r="E13" s="26" t="s">
        <v>539</v>
      </c>
      <c r="F13" s="26" t="s">
        <v>540</v>
      </c>
      <c r="G13" s="22" t="s">
        <v>116</v>
      </c>
      <c r="H13" s="30">
        <v>0.75</v>
      </c>
      <c r="J13" s="24"/>
    </row>
    <row r="14" spans="1:10" ht="51" x14ac:dyDescent="0.25">
      <c r="A14" s="24" t="s">
        <v>4</v>
      </c>
      <c r="B14" s="26" t="s">
        <v>522</v>
      </c>
      <c r="C14" s="26" t="s">
        <v>538</v>
      </c>
      <c r="D14" s="26" t="s">
        <v>525</v>
      </c>
      <c r="E14" s="26" t="s">
        <v>541</v>
      </c>
      <c r="F14" s="26" t="s">
        <v>542</v>
      </c>
      <c r="G14" s="22" t="s">
        <v>116</v>
      </c>
      <c r="H14" s="30">
        <v>0.25</v>
      </c>
      <c r="J14" s="24" t="s">
        <v>543</v>
      </c>
    </row>
    <row r="15" spans="1:10" ht="25.5" x14ac:dyDescent="0.25">
      <c r="A15" s="24" t="s">
        <v>4</v>
      </c>
      <c r="B15" s="26" t="s">
        <v>522</v>
      </c>
      <c r="C15" s="26" t="s">
        <v>544</v>
      </c>
      <c r="D15" s="26" t="s">
        <v>525</v>
      </c>
      <c r="E15" s="26" t="s">
        <v>520</v>
      </c>
      <c r="F15" s="26" t="s">
        <v>545</v>
      </c>
      <c r="G15" s="22" t="s">
        <v>116</v>
      </c>
      <c r="H15" s="30">
        <v>0.5</v>
      </c>
      <c r="J15" s="24"/>
    </row>
    <row r="16" spans="1:10" x14ac:dyDescent="0.25">
      <c r="A16" s="24" t="s">
        <v>4</v>
      </c>
      <c r="B16" s="22" t="s">
        <v>137</v>
      </c>
      <c r="C16" s="22" t="s">
        <v>138</v>
      </c>
      <c r="F16" s="22" t="s">
        <v>139</v>
      </c>
      <c r="G16" s="22" t="s">
        <v>116</v>
      </c>
      <c r="H16" s="29">
        <v>0.5</v>
      </c>
      <c r="J16" s="22" t="s">
        <v>140</v>
      </c>
    </row>
    <row r="17" spans="1:10" x14ac:dyDescent="0.25">
      <c r="A17" s="24" t="s">
        <v>4</v>
      </c>
      <c r="B17" s="22" t="s">
        <v>137</v>
      </c>
      <c r="C17" s="22" t="s">
        <v>141</v>
      </c>
      <c r="F17" s="22" t="s">
        <v>142</v>
      </c>
      <c r="G17" s="22" t="s">
        <v>116</v>
      </c>
      <c r="H17" s="29">
        <v>0.03</v>
      </c>
      <c r="J17" s="22" t="s">
        <v>143</v>
      </c>
    </row>
    <row r="18" spans="1:10" x14ac:dyDescent="0.25">
      <c r="A18" s="24" t="s">
        <v>4</v>
      </c>
      <c r="B18" s="22" t="s">
        <v>137</v>
      </c>
      <c r="C18" s="22" t="s">
        <v>74</v>
      </c>
      <c r="F18" s="22" t="s">
        <v>144</v>
      </c>
      <c r="G18" s="22" t="s">
        <v>116</v>
      </c>
      <c r="H18" s="29">
        <v>5.0000000000000001E-3</v>
      </c>
      <c r="J18" s="22" t="s">
        <v>145</v>
      </c>
    </row>
    <row r="19" spans="1:10" ht="25.5" x14ac:dyDescent="0.25">
      <c r="A19" s="24" t="s">
        <v>231</v>
      </c>
      <c r="B19" s="22" t="s">
        <v>548</v>
      </c>
      <c r="C19" s="22" t="s">
        <v>146</v>
      </c>
      <c r="F19" s="22" t="s">
        <v>147</v>
      </c>
      <c r="G19" s="22" t="s">
        <v>116</v>
      </c>
      <c r="H19" s="29">
        <v>3.0000000000000001E-3</v>
      </c>
      <c r="J19" s="22" t="s">
        <v>148</v>
      </c>
    </row>
    <row r="20" spans="1:10" ht="25.5" x14ac:dyDescent="0.25">
      <c r="A20" s="24" t="s">
        <v>231</v>
      </c>
      <c r="B20" s="22" t="s">
        <v>548</v>
      </c>
      <c r="C20" s="22" t="s">
        <v>149</v>
      </c>
      <c r="F20" s="22" t="s">
        <v>147</v>
      </c>
      <c r="G20" s="22" t="s">
        <v>116</v>
      </c>
      <c r="H20" s="29">
        <v>1.4999999999999999E-2</v>
      </c>
      <c r="J20" s="22" t="s">
        <v>150</v>
      </c>
    </row>
    <row r="21" spans="1:10" ht="25.5" x14ac:dyDescent="0.25">
      <c r="A21" s="24" t="s">
        <v>231</v>
      </c>
      <c r="B21" s="22" t="s">
        <v>151</v>
      </c>
      <c r="C21" s="22" t="s">
        <v>146</v>
      </c>
      <c r="F21" s="22" t="s">
        <v>147</v>
      </c>
      <c r="G21" s="22" t="s">
        <v>116</v>
      </c>
      <c r="H21" s="29">
        <v>2.5000000000000001E-4</v>
      </c>
      <c r="J21" s="22" t="s">
        <v>152</v>
      </c>
    </row>
    <row r="22" spans="1:10" ht="25.5" x14ac:dyDescent="0.25">
      <c r="A22" s="24" t="s">
        <v>231</v>
      </c>
      <c r="B22" s="22" t="s">
        <v>151</v>
      </c>
      <c r="C22" s="22" t="s">
        <v>149</v>
      </c>
      <c r="F22" s="22" t="s">
        <v>147</v>
      </c>
      <c r="G22" s="22" t="s">
        <v>116</v>
      </c>
      <c r="H22" s="29">
        <v>1.25E-3</v>
      </c>
      <c r="J22" s="22" t="s">
        <v>152</v>
      </c>
    </row>
    <row r="23" spans="1:10" x14ac:dyDescent="0.25">
      <c r="A23" s="24" t="s">
        <v>231</v>
      </c>
      <c r="B23" s="22" t="s">
        <v>549</v>
      </c>
      <c r="C23" s="22" t="s">
        <v>146</v>
      </c>
      <c r="F23" s="22" t="s">
        <v>147</v>
      </c>
      <c r="G23" s="22" t="s">
        <v>116</v>
      </c>
      <c r="H23" s="29">
        <v>1.4999999999999999E-2</v>
      </c>
      <c r="J23" s="22" t="s">
        <v>153</v>
      </c>
    </row>
    <row r="24" spans="1:10" x14ac:dyDescent="0.25">
      <c r="A24" s="24" t="s">
        <v>231</v>
      </c>
      <c r="B24" s="22" t="s">
        <v>549</v>
      </c>
      <c r="C24" s="22" t="s">
        <v>149</v>
      </c>
      <c r="F24" s="22" t="s">
        <v>147</v>
      </c>
      <c r="G24" s="22" t="s">
        <v>116</v>
      </c>
      <c r="H24" s="29">
        <v>7.4999999999999997E-2</v>
      </c>
      <c r="J24" s="22" t="s">
        <v>153</v>
      </c>
    </row>
    <row r="25" spans="1:10" x14ac:dyDescent="0.25">
      <c r="A25" s="24" t="s">
        <v>552</v>
      </c>
      <c r="B25" s="22" t="s">
        <v>154</v>
      </c>
      <c r="C25" s="22" t="s">
        <v>155</v>
      </c>
      <c r="F25" s="22" t="s">
        <v>156</v>
      </c>
      <c r="G25" s="22" t="s">
        <v>116</v>
      </c>
      <c r="H25" s="29">
        <v>1.04E-2</v>
      </c>
      <c r="J25" s="22" t="s">
        <v>157</v>
      </c>
    </row>
    <row r="26" spans="1:10" x14ac:dyDescent="0.25">
      <c r="A26" s="24" t="s">
        <v>552</v>
      </c>
      <c r="B26" s="22" t="s">
        <v>158</v>
      </c>
      <c r="C26" s="22" t="s">
        <v>155</v>
      </c>
      <c r="F26" s="22" t="s">
        <v>156</v>
      </c>
      <c r="G26" s="22" t="s">
        <v>116</v>
      </c>
      <c r="H26" s="29">
        <v>2.0799999999999999E-2</v>
      </c>
      <c r="J26" s="22" t="s">
        <v>157</v>
      </c>
    </row>
    <row r="27" spans="1:10" x14ac:dyDescent="0.25">
      <c r="A27" s="24" t="s">
        <v>552</v>
      </c>
      <c r="B27" s="22" t="s">
        <v>159</v>
      </c>
      <c r="C27" s="22" t="s">
        <v>155</v>
      </c>
      <c r="F27" s="22" t="s">
        <v>156</v>
      </c>
      <c r="G27" s="22" t="s">
        <v>116</v>
      </c>
      <c r="H27" s="29">
        <v>4.1599999999999998E-2</v>
      </c>
      <c r="J27" s="22" t="s">
        <v>157</v>
      </c>
    </row>
    <row r="28" spans="1:10" x14ac:dyDescent="0.25">
      <c r="A28" s="24" t="s">
        <v>552</v>
      </c>
      <c r="B28" s="22" t="s">
        <v>160</v>
      </c>
      <c r="C28" s="22" t="s">
        <v>155</v>
      </c>
      <c r="F28" s="22" t="s">
        <v>156</v>
      </c>
      <c r="G28" s="22" t="s">
        <v>116</v>
      </c>
      <c r="H28" s="29">
        <v>8.3199999999999996E-2</v>
      </c>
      <c r="J28" s="22" t="s">
        <v>157</v>
      </c>
    </row>
    <row r="29" spans="1:10" x14ac:dyDescent="0.25">
      <c r="A29" s="24" t="s">
        <v>552</v>
      </c>
      <c r="B29" s="22" t="s">
        <v>161</v>
      </c>
      <c r="C29" s="22" t="s">
        <v>155</v>
      </c>
      <c r="F29" s="22" t="s">
        <v>156</v>
      </c>
      <c r="G29" s="22" t="s">
        <v>116</v>
      </c>
      <c r="H29" s="29">
        <v>8.3999999999999995E-3</v>
      </c>
      <c r="J29" s="22" t="s">
        <v>162</v>
      </c>
    </row>
    <row r="30" spans="1:10" x14ac:dyDescent="0.25">
      <c r="A30" s="24" t="s">
        <v>552</v>
      </c>
      <c r="B30" s="22" t="s">
        <v>163</v>
      </c>
      <c r="C30" s="22" t="s">
        <v>155</v>
      </c>
      <c r="F30" s="22" t="s">
        <v>156</v>
      </c>
      <c r="G30" s="22" t="s">
        <v>116</v>
      </c>
      <c r="H30" s="29">
        <v>1.6799999999999999E-2</v>
      </c>
      <c r="J30" s="22" t="s">
        <v>162</v>
      </c>
    </row>
    <row r="31" spans="1:10" x14ac:dyDescent="0.25">
      <c r="A31" s="24" t="s">
        <v>553</v>
      </c>
      <c r="B31" s="22" t="s">
        <v>164</v>
      </c>
      <c r="C31" s="22" t="s">
        <v>165</v>
      </c>
      <c r="F31" s="22" t="s">
        <v>166</v>
      </c>
      <c r="G31" s="22" t="s">
        <v>116</v>
      </c>
      <c r="H31" s="29">
        <v>0.2</v>
      </c>
      <c r="J31" s="22" t="s">
        <v>167</v>
      </c>
    </row>
    <row r="32" spans="1:10" x14ac:dyDescent="0.25">
      <c r="A32" s="24" t="s">
        <v>553</v>
      </c>
      <c r="B32" s="22" t="s">
        <v>168</v>
      </c>
      <c r="C32" s="22" t="s">
        <v>169</v>
      </c>
      <c r="F32" s="22" t="s">
        <v>132</v>
      </c>
      <c r="G32" s="22" t="s">
        <v>116</v>
      </c>
      <c r="H32" s="29">
        <v>1.6666700000000001E-5</v>
      </c>
      <c r="J32" s="22" t="s">
        <v>170</v>
      </c>
    </row>
    <row r="33" spans="1:10" x14ac:dyDescent="0.25">
      <c r="A33" s="24" t="s">
        <v>172</v>
      </c>
      <c r="B33" s="22" t="s">
        <v>171</v>
      </c>
      <c r="C33" s="22" t="s">
        <v>172</v>
      </c>
      <c r="F33" s="22" t="s">
        <v>142</v>
      </c>
      <c r="G33" s="22" t="s">
        <v>116</v>
      </c>
      <c r="H33" s="29">
        <v>2.3E-2</v>
      </c>
      <c r="J33" s="22" t="s">
        <v>173</v>
      </c>
    </row>
    <row r="34" spans="1:10" x14ac:dyDescent="0.25">
      <c r="A34" s="24" t="s">
        <v>172</v>
      </c>
      <c r="B34" s="22" t="s">
        <v>174</v>
      </c>
      <c r="C34" s="22" t="s">
        <v>172</v>
      </c>
      <c r="F34" s="22" t="s">
        <v>142</v>
      </c>
      <c r="G34" s="22" t="s">
        <v>116</v>
      </c>
      <c r="H34" s="29">
        <v>1.2500000000000001E-2</v>
      </c>
      <c r="J34" s="22" t="s">
        <v>175</v>
      </c>
    </row>
    <row r="35" spans="1:10" x14ac:dyDescent="0.25">
      <c r="A35" s="24" t="s">
        <v>172</v>
      </c>
      <c r="B35" s="22" t="s">
        <v>176</v>
      </c>
      <c r="C35" s="22" t="s">
        <v>165</v>
      </c>
      <c r="F35" s="22" t="s">
        <v>177</v>
      </c>
      <c r="G35" s="22" t="s">
        <v>116</v>
      </c>
      <c r="H35" s="29">
        <v>4.0000000000000002E-4</v>
      </c>
      <c r="J35" s="22" t="s">
        <v>178</v>
      </c>
    </row>
    <row r="36" spans="1:10" x14ac:dyDescent="0.25">
      <c r="A36" s="24" t="s">
        <v>172</v>
      </c>
      <c r="B36" s="22" t="s">
        <v>179</v>
      </c>
      <c r="C36" s="22" t="s">
        <v>165</v>
      </c>
      <c r="F36" s="22" t="s">
        <v>177</v>
      </c>
      <c r="G36" s="22" t="s">
        <v>116</v>
      </c>
      <c r="H36" s="29">
        <v>5.0000000000000001E-3</v>
      </c>
      <c r="J36" s="22" t="s">
        <v>180</v>
      </c>
    </row>
    <row r="37" spans="1:10" ht="25.5" x14ac:dyDescent="0.25">
      <c r="A37"/>
      <c r="B37" s="22" t="s">
        <v>181</v>
      </c>
      <c r="C37" s="22" t="s">
        <v>182</v>
      </c>
      <c r="F37" s="22" t="s">
        <v>183</v>
      </c>
      <c r="G37" s="22" t="s">
        <v>116</v>
      </c>
      <c r="H37" s="29">
        <v>0.25</v>
      </c>
      <c r="J37" s="22" t="s">
        <v>184</v>
      </c>
    </row>
    <row r="38" spans="1:10" ht="25.5" x14ac:dyDescent="0.25">
      <c r="A38"/>
      <c r="B38" s="22" t="s">
        <v>185</v>
      </c>
      <c r="C38" s="22" t="s">
        <v>186</v>
      </c>
      <c r="F38" s="22" t="s">
        <v>187</v>
      </c>
      <c r="G38" s="22" t="s">
        <v>116</v>
      </c>
      <c r="H38" s="29">
        <v>1.25</v>
      </c>
      <c r="J38" s="22" t="s">
        <v>184</v>
      </c>
    </row>
    <row r="39" spans="1:10" x14ac:dyDescent="0.25">
      <c r="A39"/>
      <c r="B39" s="22" t="s">
        <v>188</v>
      </c>
      <c r="C39" s="22" t="s">
        <v>172</v>
      </c>
      <c r="F39" s="22" t="s">
        <v>142</v>
      </c>
      <c r="G39" s="22" t="s">
        <v>116</v>
      </c>
      <c r="H39" s="29">
        <v>0.25</v>
      </c>
      <c r="J39" s="22" t="s">
        <v>189</v>
      </c>
    </row>
    <row r="40" spans="1:10" ht="25.5" x14ac:dyDescent="0.25">
      <c r="A40" t="s">
        <v>546</v>
      </c>
      <c r="B40" s="22" t="s">
        <v>190</v>
      </c>
      <c r="C40" s="22" t="s">
        <v>191</v>
      </c>
      <c r="F40" s="22" t="s">
        <v>192</v>
      </c>
      <c r="G40" s="22" t="s">
        <v>116</v>
      </c>
      <c r="H40" s="29">
        <v>0.3</v>
      </c>
      <c r="J40" s="22" t="s">
        <v>193</v>
      </c>
    </row>
    <row r="41" spans="1:10" ht="25.5" x14ac:dyDescent="0.25">
      <c r="A41" t="s">
        <v>546</v>
      </c>
      <c r="B41" s="22" t="s">
        <v>194</v>
      </c>
      <c r="C41" s="22" t="s">
        <v>138</v>
      </c>
      <c r="F41" s="22" t="s">
        <v>139</v>
      </c>
      <c r="G41" s="22" t="s">
        <v>116</v>
      </c>
      <c r="H41" s="29">
        <v>0.5</v>
      </c>
      <c r="J41" s="22" t="s">
        <v>195</v>
      </c>
    </row>
    <row r="42" spans="1:10" x14ac:dyDescent="0.25">
      <c r="A42" t="s">
        <v>546</v>
      </c>
      <c r="B42" s="22" t="s">
        <v>196</v>
      </c>
      <c r="C42" s="22" t="s">
        <v>141</v>
      </c>
      <c r="F42" s="22" t="s">
        <v>142</v>
      </c>
      <c r="G42" s="22" t="s">
        <v>116</v>
      </c>
      <c r="H42" s="29">
        <v>0.03</v>
      </c>
      <c r="J42" s="22" t="s">
        <v>197</v>
      </c>
    </row>
    <row r="43" spans="1:10" x14ac:dyDescent="0.25">
      <c r="A43" t="s">
        <v>554</v>
      </c>
      <c r="B43" s="22" t="s">
        <v>198</v>
      </c>
      <c r="C43" s="22" t="s">
        <v>199</v>
      </c>
      <c r="F43" s="22" t="s">
        <v>156</v>
      </c>
      <c r="G43" s="22" t="s">
        <v>116</v>
      </c>
      <c r="H43" s="29">
        <v>4.4999999999999998E-2</v>
      </c>
      <c r="J43" s="22" t="s">
        <v>200</v>
      </c>
    </row>
    <row r="44" spans="1:10" x14ac:dyDescent="0.25">
      <c r="A44" t="s">
        <v>554</v>
      </c>
      <c r="B44" s="22" t="s">
        <v>201</v>
      </c>
      <c r="C44" s="22" t="s">
        <v>202</v>
      </c>
      <c r="F44" s="22" t="s">
        <v>139</v>
      </c>
      <c r="G44" s="22" t="s">
        <v>116</v>
      </c>
      <c r="H44" s="29">
        <v>4.4999999999999998E-2</v>
      </c>
      <c r="J44" s="22" t="s">
        <v>203</v>
      </c>
    </row>
    <row r="45" spans="1:10" x14ac:dyDescent="0.25">
      <c r="A45" t="s">
        <v>554</v>
      </c>
      <c r="B45" s="22" t="s">
        <v>204</v>
      </c>
      <c r="C45" s="22" t="s">
        <v>205</v>
      </c>
      <c r="F45" s="22" t="s">
        <v>139</v>
      </c>
      <c r="G45" s="22" t="s">
        <v>116</v>
      </c>
      <c r="H45" s="29">
        <v>0.01</v>
      </c>
      <c r="J45" s="22" t="s">
        <v>206</v>
      </c>
    </row>
    <row r="46" spans="1:10" ht="25.5" x14ac:dyDescent="0.25">
      <c r="A46" t="s">
        <v>554</v>
      </c>
      <c r="B46" s="22" t="s">
        <v>207</v>
      </c>
      <c r="C46" s="22" t="s">
        <v>205</v>
      </c>
      <c r="F46" s="22" t="s">
        <v>139</v>
      </c>
      <c r="G46" s="22" t="s">
        <v>116</v>
      </c>
      <c r="H46" s="29">
        <v>0.09</v>
      </c>
      <c r="J46" s="22" t="s">
        <v>208</v>
      </c>
    </row>
    <row r="47" spans="1:10" x14ac:dyDescent="0.25">
      <c r="A47" t="s">
        <v>172</v>
      </c>
      <c r="B47" s="22" t="s">
        <v>209</v>
      </c>
      <c r="C47" s="22" t="s">
        <v>210</v>
      </c>
      <c r="F47" s="22" t="s">
        <v>142</v>
      </c>
      <c r="G47" s="22" t="s">
        <v>116</v>
      </c>
      <c r="H47" s="29">
        <v>1.2E-2</v>
      </c>
      <c r="J47" s="22" t="s">
        <v>211</v>
      </c>
    </row>
    <row r="48" spans="1:10" x14ac:dyDescent="0.25">
      <c r="A48" t="s">
        <v>172</v>
      </c>
      <c r="B48" s="22" t="s">
        <v>212</v>
      </c>
      <c r="C48" s="22" t="s">
        <v>213</v>
      </c>
      <c r="F48" s="22" t="s">
        <v>214</v>
      </c>
      <c r="G48" s="22" t="s">
        <v>116</v>
      </c>
      <c r="H48" s="29">
        <v>0.01</v>
      </c>
      <c r="J48" s="22" t="s">
        <v>215</v>
      </c>
    </row>
    <row r="49" spans="1:10" ht="25.5" x14ac:dyDescent="0.25">
      <c r="A49" t="s">
        <v>555</v>
      </c>
      <c r="B49" s="22" t="s">
        <v>216</v>
      </c>
      <c r="C49" s="22" t="s">
        <v>217</v>
      </c>
      <c r="F49" s="22" t="s">
        <v>218</v>
      </c>
      <c r="G49" s="22" t="s">
        <v>116</v>
      </c>
      <c r="H49" s="29">
        <v>0.24</v>
      </c>
      <c r="J49" s="22" t="s">
        <v>219</v>
      </c>
    </row>
    <row r="50" spans="1:10" ht="25.5" x14ac:dyDescent="0.25">
      <c r="A50" t="s">
        <v>555</v>
      </c>
      <c r="B50" s="22" t="s">
        <v>220</v>
      </c>
      <c r="C50" s="22" t="s">
        <v>172</v>
      </c>
      <c r="F50" s="22" t="s">
        <v>142</v>
      </c>
      <c r="G50" s="22" t="s">
        <v>116</v>
      </c>
      <c r="H50" s="29">
        <v>2.4E-2</v>
      </c>
      <c r="J50" s="22" t="s">
        <v>221</v>
      </c>
    </row>
    <row r="51" spans="1:10" ht="25.5" x14ac:dyDescent="0.25">
      <c r="A51" t="s">
        <v>555</v>
      </c>
      <c r="B51" s="22" t="s">
        <v>550</v>
      </c>
      <c r="C51" s="22" t="s">
        <v>222</v>
      </c>
      <c r="F51" s="22" t="s">
        <v>223</v>
      </c>
      <c r="G51" s="22" t="s">
        <v>116</v>
      </c>
      <c r="H51" s="29">
        <v>9.6000000000000002E-2</v>
      </c>
      <c r="J51" s="22" t="s">
        <v>224</v>
      </c>
    </row>
    <row r="52" spans="1:10" ht="25.5" x14ac:dyDescent="0.25">
      <c r="A52" t="s">
        <v>555</v>
      </c>
      <c r="B52" s="22" t="s">
        <v>225</v>
      </c>
      <c r="C52" s="22" t="s">
        <v>551</v>
      </c>
      <c r="F52" s="22" t="s">
        <v>156</v>
      </c>
      <c r="G52" s="22" t="s">
        <v>116</v>
      </c>
      <c r="H52" s="29">
        <v>0.5</v>
      </c>
      <c r="J52" s="22" t="s">
        <v>226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F2" sqref="F2"/>
    </sheetView>
  </sheetViews>
  <sheetFormatPr defaultRowHeight="15" x14ac:dyDescent="0.25"/>
  <cols>
    <col min="1" max="1" width="25.28515625" style="2" customWidth="1"/>
    <col min="2" max="2" width="27.140625" style="2" customWidth="1"/>
    <col min="3" max="8" width="27.28515625" style="2" customWidth="1"/>
  </cols>
  <sheetData>
    <row r="1" spans="1:7" x14ac:dyDescent="0.25">
      <c r="A1" s="1" t="s">
        <v>227</v>
      </c>
      <c r="B1" s="1" t="s">
        <v>129</v>
      </c>
      <c r="C1" s="1" t="s">
        <v>228</v>
      </c>
      <c r="D1" s="1" t="s">
        <v>27</v>
      </c>
      <c r="E1" s="1" t="s">
        <v>229</v>
      </c>
      <c r="F1" s="1" t="s">
        <v>230</v>
      </c>
      <c r="G1" s="1" t="s">
        <v>1</v>
      </c>
    </row>
    <row r="2" spans="1:7" x14ac:dyDescent="0.25">
      <c r="A2" s="2" t="s">
        <v>4</v>
      </c>
      <c r="B2" s="2" t="s">
        <v>131</v>
      </c>
      <c r="C2" s="2" t="e">
        <f>Assumptions!#REF!*Assumptions!B3*Assumptions!B4*Assumptions!B5</f>
        <v>#REF!</v>
      </c>
      <c r="D2" s="2" t="s">
        <v>513</v>
      </c>
      <c r="E2" s="2" t="str">
        <f t="shared" ref="E2:E9" si="0">C1</f>
        <v>Quantity</v>
      </c>
      <c r="F2" s="2" t="e">
        <f>('[2]AWS Pricing'!E1*Assumptions!B26+'[2]AWS Pricing'!E2*Assumptions!B27)*Assumptions!B6</f>
        <v>#VALUE!</v>
      </c>
      <c r="G2" s="2" t="e">
        <f t="shared" ref="G2:G15" si="1">D1*E1</f>
        <v>#VALUE!</v>
      </c>
    </row>
    <row r="3" spans="1:7" x14ac:dyDescent="0.25">
      <c r="A3" s="2" t="s">
        <v>4</v>
      </c>
      <c r="B3" s="2" t="s">
        <v>133</v>
      </c>
      <c r="C3" s="2" t="e">
        <f>B1*0.3</f>
        <v>#VALUE!</v>
      </c>
      <c r="D3" s="2" t="s">
        <v>513</v>
      </c>
      <c r="E3" s="2" t="e">
        <f t="shared" si="0"/>
        <v>#REF!</v>
      </c>
      <c r="F3" s="2" t="e">
        <f>('[2]AWS Pricing'!E3*Assumptions!B26+'[2]AWS Pricing'!E4*Assumptions!B27)*Assumptions!B6</f>
        <v>#VALUE!</v>
      </c>
      <c r="G3" s="2" t="e">
        <f t="shared" si="1"/>
        <v>#VALUE!</v>
      </c>
    </row>
    <row r="4" spans="1:7" x14ac:dyDescent="0.25">
      <c r="A4" s="2" t="s">
        <v>4</v>
      </c>
      <c r="B4" s="2" t="s">
        <v>134</v>
      </c>
      <c r="C4" s="2" t="e">
        <f>B1*0.2</f>
        <v>#VALUE!</v>
      </c>
      <c r="D4" s="2" t="s">
        <v>513</v>
      </c>
      <c r="E4" s="2" t="e">
        <f t="shared" si="0"/>
        <v>#VALUE!</v>
      </c>
      <c r="F4" s="2" t="e">
        <f>('[2]AWS Pricing'!E5*Assumptions!B26+'[2]AWS Pricing'!E6*Assumptions!B27)*Assumptions!B6</f>
        <v>#VALUE!</v>
      </c>
      <c r="G4" s="2" t="e">
        <f t="shared" si="1"/>
        <v>#VALUE!</v>
      </c>
    </row>
    <row r="5" spans="1:7" x14ac:dyDescent="0.25">
      <c r="A5" s="2" t="s">
        <v>4</v>
      </c>
      <c r="B5" s="2" t="s">
        <v>135</v>
      </c>
      <c r="C5" s="2" t="e">
        <f>B1*100</f>
        <v>#VALUE!</v>
      </c>
      <c r="D5" s="2" t="s">
        <v>514</v>
      </c>
      <c r="E5" s="2" t="e">
        <f t="shared" si="0"/>
        <v>#VALUE!</v>
      </c>
      <c r="F5" s="2" t="e">
        <f>'AWS Pricing'!#REF!</f>
        <v>#REF!</v>
      </c>
      <c r="G5" s="2" t="e">
        <f t="shared" si="1"/>
        <v>#VALUE!</v>
      </c>
    </row>
    <row r="6" spans="1:7" x14ac:dyDescent="0.25">
      <c r="A6" s="2" t="s">
        <v>231</v>
      </c>
      <c r="B6" s="2" t="s">
        <v>52</v>
      </c>
      <c r="C6" s="2" t="e">
        <f>Assumptions!#REF!/100</f>
        <v>#REF!</v>
      </c>
      <c r="D6" s="2" t="s">
        <v>232</v>
      </c>
      <c r="E6" s="2" t="e">
        <f t="shared" si="0"/>
        <v>#VALUE!</v>
      </c>
      <c r="F6" s="2" t="e">
        <f>('[2]AWS Pricing'!E13*Assumptions!B14+'[2]AWS Pricing'!E14*Assumptions!B15)*C1/1000</f>
        <v>#VALUE!</v>
      </c>
      <c r="G6" s="2" t="e">
        <f t="shared" si="1"/>
        <v>#VALUE!</v>
      </c>
    </row>
    <row r="7" spans="1:7" x14ac:dyDescent="0.25">
      <c r="A7" s="2" t="s">
        <v>231</v>
      </c>
      <c r="B7" s="2" t="s">
        <v>55</v>
      </c>
      <c r="C7" s="2">
        <f>Assumptions!B11/100</f>
        <v>0.4</v>
      </c>
      <c r="D7" s="2" t="s">
        <v>232</v>
      </c>
      <c r="E7" s="2" t="e">
        <f t="shared" si="0"/>
        <v>#REF!</v>
      </c>
      <c r="F7" s="2" t="e">
        <f>('[2]AWS Pricing'!E15*Assumptions!B14+'[2]AWS Pricing'!E16*Assumptions!B15)*C1/1000</f>
        <v>#VALUE!</v>
      </c>
      <c r="G7" s="2" t="e">
        <f t="shared" si="1"/>
        <v>#VALUE!</v>
      </c>
    </row>
    <row r="8" spans="1:7" x14ac:dyDescent="0.25">
      <c r="A8" s="2" t="s">
        <v>231</v>
      </c>
      <c r="B8" s="2" t="s">
        <v>56</v>
      </c>
      <c r="C8" s="2">
        <f>Assumptions!B12/100</f>
        <v>0.3</v>
      </c>
      <c r="D8" s="2" t="s">
        <v>232</v>
      </c>
      <c r="E8" s="2">
        <f t="shared" si="0"/>
        <v>0.4</v>
      </c>
      <c r="F8" s="2" t="e">
        <f>('[2]AWS Pricing'!E19*Assumptions!B14+'[2]AWS Pricing'!E20*Assumptions!B15)*C1/1000</f>
        <v>#VALUE!</v>
      </c>
      <c r="G8" s="2" t="e">
        <f t="shared" si="1"/>
        <v>#VALUE!</v>
      </c>
    </row>
    <row r="9" spans="1:7" x14ac:dyDescent="0.25">
      <c r="A9" s="2" t="s">
        <v>231</v>
      </c>
      <c r="B9" s="2" t="s">
        <v>57</v>
      </c>
      <c r="C9" s="2">
        <f>Assumptions!B13/100</f>
        <v>0.2</v>
      </c>
      <c r="D9" s="2" t="s">
        <v>232</v>
      </c>
      <c r="E9" s="2">
        <f t="shared" si="0"/>
        <v>0.3</v>
      </c>
      <c r="F9" s="2" t="e">
        <f>('[2]AWS Pricing'!E21*Assumptions!B14+'[2]AWS Pricing'!E22*Assumptions!B15)*C1/1000</f>
        <v>#VALUE!</v>
      </c>
      <c r="G9" s="2" t="e">
        <f t="shared" si="1"/>
        <v>#VALUE!</v>
      </c>
    </row>
    <row r="10" spans="1:7" x14ac:dyDescent="0.25">
      <c r="A10" s="2" t="s">
        <v>233</v>
      </c>
      <c r="B10" s="2" t="s">
        <v>159</v>
      </c>
      <c r="C10" s="2">
        <v>2</v>
      </c>
      <c r="D10" s="2" t="s">
        <v>234</v>
      </c>
      <c r="E10" s="2">
        <f>C9*24*Assumptions!B4</f>
        <v>38.400000000000006</v>
      </c>
      <c r="F10" s="2" t="s">
        <v>235</v>
      </c>
      <c r="G10" s="2" t="e">
        <f t="shared" si="1"/>
        <v>#VALUE!</v>
      </c>
    </row>
    <row r="11" spans="1:7" x14ac:dyDescent="0.25">
      <c r="A11" s="2" t="s">
        <v>233</v>
      </c>
      <c r="B11" s="2" t="s">
        <v>236</v>
      </c>
      <c r="C11" s="2" t="str">
        <f>B1</f>
        <v>Component</v>
      </c>
      <c r="D11" s="2" t="s">
        <v>237</v>
      </c>
      <c r="E11" s="2">
        <f t="shared" ref="E11:E19" si="2">C10</f>
        <v>2</v>
      </c>
      <c r="F11" s="2" t="s">
        <v>238</v>
      </c>
      <c r="G11" s="2" t="e">
        <f t="shared" si="1"/>
        <v>#VALUE!</v>
      </c>
    </row>
    <row r="12" spans="1:7" x14ac:dyDescent="0.25">
      <c r="A12" s="2" t="s">
        <v>233</v>
      </c>
      <c r="B12" s="2" t="s">
        <v>239</v>
      </c>
      <c r="C12" s="2" t="e">
        <f>B1*0.5</f>
        <v>#VALUE!</v>
      </c>
      <c r="D12" s="2" t="s">
        <v>237</v>
      </c>
      <c r="E12" s="2" t="str">
        <f t="shared" si="2"/>
        <v>Component</v>
      </c>
      <c r="F12" s="2" t="s">
        <v>240</v>
      </c>
      <c r="G12" s="2" t="e">
        <f t="shared" si="1"/>
        <v>#VALUE!</v>
      </c>
    </row>
    <row r="13" spans="1:7" x14ac:dyDescent="0.25">
      <c r="A13" s="2" t="s">
        <v>241</v>
      </c>
      <c r="B13" s="2" t="s">
        <v>171</v>
      </c>
      <c r="C13" s="2" t="e">
        <f>Assumptions!B8*Assumptions!#REF!</f>
        <v>#REF!</v>
      </c>
      <c r="D13" s="2" t="s">
        <v>109</v>
      </c>
      <c r="E13" s="2" t="e">
        <f t="shared" si="2"/>
        <v>#VALUE!</v>
      </c>
      <c r="F13" s="2" t="s">
        <v>242</v>
      </c>
      <c r="G13" s="2" t="e">
        <f t="shared" si="1"/>
        <v>#VALUE!</v>
      </c>
    </row>
    <row r="14" spans="1:7" x14ac:dyDescent="0.25">
      <c r="A14" s="2" t="s">
        <v>241</v>
      </c>
      <c r="B14" s="2" t="s">
        <v>243</v>
      </c>
      <c r="C14" s="2" t="e">
        <f>B1*1000</f>
        <v>#VALUE!</v>
      </c>
      <c r="D14" s="2" t="s">
        <v>244</v>
      </c>
      <c r="E14" s="2" t="e">
        <f t="shared" si="2"/>
        <v>#REF!</v>
      </c>
      <c r="F14" s="2" t="s">
        <v>245</v>
      </c>
      <c r="G14" s="2" t="e">
        <f t="shared" si="1"/>
        <v>#VALUE!</v>
      </c>
    </row>
    <row r="15" spans="1:7" x14ac:dyDescent="0.25">
      <c r="A15" s="2" t="s">
        <v>246</v>
      </c>
      <c r="B15" s="2" t="s">
        <v>247</v>
      </c>
      <c r="C15" s="2">
        <v>3</v>
      </c>
      <c r="D15" s="2" t="s">
        <v>248</v>
      </c>
      <c r="E15" s="2" t="e">
        <f t="shared" si="2"/>
        <v>#VALUE!</v>
      </c>
      <c r="F15" s="2" t="s">
        <v>249</v>
      </c>
      <c r="G15" s="2" t="e">
        <f t="shared" si="1"/>
        <v>#VALUE!</v>
      </c>
    </row>
    <row r="16" spans="1:7" x14ac:dyDescent="0.25">
      <c r="A16" s="2" t="s">
        <v>246</v>
      </c>
      <c r="B16" s="2" t="s">
        <v>250</v>
      </c>
      <c r="C16" s="2" t="e">
        <f>B1*10000</f>
        <v>#VALUE!</v>
      </c>
      <c r="D16" s="2" t="s">
        <v>251</v>
      </c>
      <c r="E16" s="2">
        <f t="shared" si="2"/>
        <v>3</v>
      </c>
      <c r="F16" s="2" t="s">
        <v>252</v>
      </c>
      <c r="G16" s="2" t="e">
        <f>D15*E15/1000000</f>
        <v>#VALUE!</v>
      </c>
    </row>
    <row r="17" spans="1:7" x14ac:dyDescent="0.25">
      <c r="A17" s="2" t="s">
        <v>246</v>
      </c>
      <c r="B17" s="2" t="s">
        <v>253</v>
      </c>
      <c r="C17" s="2" t="e">
        <f>B1*1000</f>
        <v>#VALUE!</v>
      </c>
      <c r="D17" s="2" t="s">
        <v>254</v>
      </c>
      <c r="E17" s="2" t="e">
        <f t="shared" si="2"/>
        <v>#VALUE!</v>
      </c>
      <c r="F17" s="2" t="s">
        <v>255</v>
      </c>
      <c r="G17" s="2" t="e">
        <f>D16*E16/1000000</f>
        <v>#VALUE!</v>
      </c>
    </row>
    <row r="18" spans="1:7" x14ac:dyDescent="0.25">
      <c r="A18" s="2" t="s">
        <v>256</v>
      </c>
      <c r="B18" s="2" t="s">
        <v>257</v>
      </c>
      <c r="C18" s="2" t="e">
        <f>Assumptions!#REF!*5</f>
        <v>#REF!</v>
      </c>
      <c r="D18" s="2" t="s">
        <v>191</v>
      </c>
      <c r="E18" s="2" t="e">
        <f t="shared" si="2"/>
        <v>#VALUE!</v>
      </c>
      <c r="F18" s="2" t="s">
        <v>258</v>
      </c>
      <c r="G18" s="2" t="e">
        <f t="shared" ref="G18:G27" si="3">D17*E17</f>
        <v>#VALUE!</v>
      </c>
    </row>
    <row r="19" spans="1:7" x14ac:dyDescent="0.25">
      <c r="A19" s="2" t="s">
        <v>256</v>
      </c>
      <c r="B19" s="2" t="s">
        <v>259</v>
      </c>
      <c r="C19" s="2" t="e">
        <f>B1*0.1</f>
        <v>#VALUE!</v>
      </c>
      <c r="D19" s="2" t="s">
        <v>49</v>
      </c>
      <c r="E19" s="2" t="e">
        <f t="shared" si="2"/>
        <v>#REF!</v>
      </c>
      <c r="F19" s="2" t="s">
        <v>260</v>
      </c>
      <c r="G19" s="2" t="e">
        <f t="shared" si="3"/>
        <v>#VALUE!</v>
      </c>
    </row>
    <row r="20" spans="1:7" x14ac:dyDescent="0.25">
      <c r="A20" s="2" t="s">
        <v>261</v>
      </c>
      <c r="B20" s="2" t="s">
        <v>262</v>
      </c>
      <c r="C20" s="2">
        <v>1</v>
      </c>
      <c r="D20" s="2" t="s">
        <v>263</v>
      </c>
      <c r="E20" s="2" t="e">
        <f>C19*24*Assumptions!B4</f>
        <v>#VALUE!</v>
      </c>
      <c r="F20" s="2" t="s">
        <v>264</v>
      </c>
      <c r="G20" s="2" t="e">
        <f t="shared" si="3"/>
        <v>#VALUE!</v>
      </c>
    </row>
    <row r="21" spans="1:7" x14ac:dyDescent="0.25">
      <c r="A21" s="2" t="s">
        <v>261</v>
      </c>
      <c r="B21" s="2" t="s">
        <v>205</v>
      </c>
      <c r="C21" s="2" t="e">
        <f>B1*0.001</f>
        <v>#VALUE!</v>
      </c>
      <c r="D21" s="2" t="s">
        <v>49</v>
      </c>
      <c r="E21" s="2">
        <f t="shared" ref="E21:E26" si="4">C20</f>
        <v>1</v>
      </c>
      <c r="F21" s="2" t="s">
        <v>265</v>
      </c>
      <c r="G21" s="2" t="e">
        <f t="shared" si="3"/>
        <v>#VALUE!</v>
      </c>
    </row>
    <row r="22" spans="1:7" x14ac:dyDescent="0.25">
      <c r="A22" s="2" t="s">
        <v>266</v>
      </c>
      <c r="B22" s="2" t="s">
        <v>267</v>
      </c>
      <c r="C22" s="2">
        <v>2</v>
      </c>
      <c r="D22" s="2" t="s">
        <v>268</v>
      </c>
      <c r="E22" s="2" t="e">
        <f t="shared" si="4"/>
        <v>#VALUE!</v>
      </c>
      <c r="F22" s="2">
        <v>50</v>
      </c>
      <c r="G22" s="2" t="e">
        <f t="shared" si="3"/>
        <v>#VALUE!</v>
      </c>
    </row>
    <row r="23" spans="1:7" ht="30" x14ac:dyDescent="0.25">
      <c r="A23" s="2" t="s">
        <v>18</v>
      </c>
      <c r="B23" s="2" t="s">
        <v>209</v>
      </c>
      <c r="C23" s="2" t="e">
        <f>Assumptions!#REF!*Assumptions!#REF!/1000</f>
        <v>#REF!</v>
      </c>
      <c r="D23" s="2" t="s">
        <v>109</v>
      </c>
      <c r="E23" s="2">
        <f t="shared" si="4"/>
        <v>2</v>
      </c>
      <c r="F23" s="2" t="s">
        <v>269</v>
      </c>
      <c r="G23" s="2" t="e">
        <f t="shared" si="3"/>
        <v>#VALUE!</v>
      </c>
    </row>
    <row r="24" spans="1:7" ht="30" x14ac:dyDescent="0.25">
      <c r="A24" s="2" t="s">
        <v>18</v>
      </c>
      <c r="B24" s="2" t="s">
        <v>270</v>
      </c>
      <c r="C24" s="2">
        <f>C22*24*22</f>
        <v>1056</v>
      </c>
      <c r="D24" s="2" t="s">
        <v>271</v>
      </c>
      <c r="E24" s="2" t="e">
        <f t="shared" si="4"/>
        <v>#REF!</v>
      </c>
      <c r="F24" s="2" t="s">
        <v>272</v>
      </c>
      <c r="G24" s="2" t="e">
        <f t="shared" si="3"/>
        <v>#VALUE!</v>
      </c>
    </row>
    <row r="25" spans="1:7" ht="30" x14ac:dyDescent="0.25">
      <c r="A25" s="2" t="s">
        <v>18</v>
      </c>
      <c r="B25" s="2" t="s">
        <v>273</v>
      </c>
      <c r="C25" s="2">
        <v>0.5</v>
      </c>
      <c r="D25" s="2" t="s">
        <v>274</v>
      </c>
      <c r="E25" s="2">
        <f t="shared" si="4"/>
        <v>1056</v>
      </c>
      <c r="F25" s="2" t="s">
        <v>275</v>
      </c>
      <c r="G25" s="2" t="e">
        <f t="shared" si="3"/>
        <v>#VALUE!</v>
      </c>
    </row>
    <row r="26" spans="1:7" ht="30" x14ac:dyDescent="0.25">
      <c r="A26" s="2" t="s">
        <v>20</v>
      </c>
      <c r="B26" s="2" t="s">
        <v>276</v>
      </c>
      <c r="C26" s="2">
        <f>C24*24*22</f>
        <v>557568</v>
      </c>
      <c r="D26" s="2" t="s">
        <v>277</v>
      </c>
      <c r="E26" s="2">
        <f t="shared" si="4"/>
        <v>0.5</v>
      </c>
      <c r="F26" s="2" t="s">
        <v>278</v>
      </c>
      <c r="G26" s="2" t="e">
        <f t="shared" si="3"/>
        <v>#VALUE!</v>
      </c>
    </row>
    <row r="27" spans="1:7" ht="30" x14ac:dyDescent="0.25">
      <c r="A27" s="2" t="s">
        <v>20</v>
      </c>
      <c r="B27" s="2" t="s">
        <v>279</v>
      </c>
      <c r="C27" s="2">
        <v>1</v>
      </c>
      <c r="D27" s="2" t="s">
        <v>280</v>
      </c>
      <c r="E27" s="2">
        <f>C26*24*Assumptions!B4</f>
        <v>107053056</v>
      </c>
      <c r="F27" s="2" t="s">
        <v>281</v>
      </c>
      <c r="G27" s="2" t="e">
        <f t="shared" si="3"/>
        <v>#VALUE!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selection activeCell="B2" sqref="B2"/>
    </sheetView>
  </sheetViews>
  <sheetFormatPr defaultRowHeight="15" x14ac:dyDescent="0.25"/>
  <cols>
    <col min="1" max="1" width="30.7109375" style="2" customWidth="1"/>
    <col min="2" max="3" width="17.140625" style="2" customWidth="1"/>
    <col min="4" max="4" width="60.5703125" style="2" customWidth="1"/>
    <col min="5" max="9" width="17.140625" style="2" customWidth="1"/>
  </cols>
  <sheetData>
    <row r="1" spans="1:4" x14ac:dyDescent="0.25">
      <c r="A1" s="1" t="s">
        <v>0</v>
      </c>
      <c r="B1" s="1" t="s">
        <v>512</v>
      </c>
      <c r="C1" s="1" t="s">
        <v>282</v>
      </c>
      <c r="D1" s="1" t="s">
        <v>3</v>
      </c>
    </row>
    <row r="2" spans="1:4" x14ac:dyDescent="0.25">
      <c r="A2" s="2" t="s">
        <v>283</v>
      </c>
      <c r="B2" s="2" t="e">
        <f>SUM('Bill of Materials'!F2:F5)</f>
        <v>#VALUE!</v>
      </c>
      <c r="D2" s="2" t="s">
        <v>284</v>
      </c>
    </row>
    <row r="3" spans="1:4" x14ac:dyDescent="0.25">
      <c r="A3" s="2" t="s">
        <v>285</v>
      </c>
      <c r="B3" s="2" t="e">
        <f>SUM([1]BOM!F5:F8)</f>
        <v>#REF!</v>
      </c>
      <c r="D3" s="2" t="s">
        <v>286</v>
      </c>
    </row>
    <row r="4" spans="1:4" x14ac:dyDescent="0.25">
      <c r="A4" s="2" t="s">
        <v>287</v>
      </c>
      <c r="B4" s="2" t="e">
        <f>SUM([1]BOM!F9:F13)</f>
        <v>#REF!</v>
      </c>
      <c r="D4" s="2" t="s">
        <v>288</v>
      </c>
    </row>
    <row r="5" spans="1:4" x14ac:dyDescent="0.25">
      <c r="A5" s="2" t="s">
        <v>289</v>
      </c>
      <c r="B5" s="2" t="e">
        <f>SUM([1]BOM!F12:F13,[1]BOM!F20)</f>
        <v>#REF!</v>
      </c>
      <c r="D5" s="2" t="s">
        <v>290</v>
      </c>
    </row>
    <row r="6" spans="1:4" x14ac:dyDescent="0.25">
      <c r="A6" s="2" t="s">
        <v>291</v>
      </c>
      <c r="B6" s="2" t="e">
        <f>SUM([1]BOM!F17:F18)</f>
        <v>#REF!</v>
      </c>
      <c r="D6" s="2" t="s">
        <v>292</v>
      </c>
    </row>
    <row r="7" spans="1:4" x14ac:dyDescent="0.25">
      <c r="A7" s="2" t="s">
        <v>293</v>
      </c>
      <c r="B7" s="2" t="e">
        <f>SUM([1]BOM!F19:F20)</f>
        <v>#REF!</v>
      </c>
      <c r="D7" s="2" t="s">
        <v>294</v>
      </c>
    </row>
    <row r="8" spans="1:4" x14ac:dyDescent="0.25">
      <c r="A8" s="2" t="s">
        <v>295</v>
      </c>
      <c r="B8" s="2" t="e">
        <f>SUM([1]BOM!F21)</f>
        <v>#REF!</v>
      </c>
      <c r="D8" s="2" t="s">
        <v>296</v>
      </c>
    </row>
    <row r="9" spans="1:4" x14ac:dyDescent="0.25">
      <c r="A9" s="2" t="s">
        <v>297</v>
      </c>
      <c r="B9" s="2" t="e">
        <f>SUM([1]BOM!F22:F24)</f>
        <v>#REF!</v>
      </c>
      <c r="D9" s="2" t="s">
        <v>298</v>
      </c>
    </row>
    <row r="10" spans="1:4" x14ac:dyDescent="0.25">
      <c r="A10" s="2" t="s">
        <v>299</v>
      </c>
      <c r="B10" s="2" t="e">
        <f>SUM([1]BOM!F25:F26)</f>
        <v>#REF!</v>
      </c>
      <c r="D10" s="2" t="s">
        <v>300</v>
      </c>
    </row>
    <row r="11" spans="1:4" x14ac:dyDescent="0.25">
      <c r="A11" s="2" t="s">
        <v>22</v>
      </c>
      <c r="B11" s="2" t="e">
        <f>B1+B2+B3+B4+B5+B6+B7+B8+B9</f>
        <v>#VALUE!</v>
      </c>
      <c r="D11" s="2" t="s">
        <v>301</v>
      </c>
    </row>
    <row r="13" spans="1:4" x14ac:dyDescent="0.25">
      <c r="A13" s="2" t="s">
        <v>302</v>
      </c>
      <c r="D13" s="2" t="s">
        <v>303</v>
      </c>
    </row>
    <row r="15" spans="1:4" x14ac:dyDescent="0.25">
      <c r="A15" s="2" t="s">
        <v>304</v>
      </c>
      <c r="B15" s="2" t="e">
        <f>B10*0.7</f>
        <v>#REF!</v>
      </c>
      <c r="D15" s="2" t="s">
        <v>305</v>
      </c>
    </row>
    <row r="16" spans="1:4" x14ac:dyDescent="0.25">
      <c r="A16" s="2" t="s">
        <v>306</v>
      </c>
      <c r="B16" s="2" t="e">
        <f>B10*0.2</f>
        <v>#REF!</v>
      </c>
      <c r="D16" s="2" t="s">
        <v>307</v>
      </c>
    </row>
    <row r="17" spans="1:4" x14ac:dyDescent="0.25">
      <c r="A17" s="2" t="s">
        <v>308</v>
      </c>
      <c r="B17" s="2" t="e">
        <f>B10*0.1</f>
        <v>#REF!</v>
      </c>
      <c r="D17" s="2" t="s">
        <v>309</v>
      </c>
    </row>
    <row r="19" spans="1:4" x14ac:dyDescent="0.25">
      <c r="A19" s="2" t="s">
        <v>310</v>
      </c>
      <c r="D19" s="2" t="s">
        <v>311</v>
      </c>
    </row>
    <row r="21" spans="1:4" x14ac:dyDescent="0.25">
      <c r="A21" s="2" t="s">
        <v>312</v>
      </c>
      <c r="B21" s="2" t="e">
        <f>B10/Assumptions!#REF!</f>
        <v>#REF!</v>
      </c>
      <c r="D21" s="2" t="s">
        <v>313</v>
      </c>
    </row>
    <row r="22" spans="1:4" x14ac:dyDescent="0.25">
      <c r="A22" s="2" t="s">
        <v>314</v>
      </c>
      <c r="B22" s="2">
        <f>B19/Assumptions!B4</f>
        <v>0</v>
      </c>
      <c r="D22" s="2" t="s">
        <v>315</v>
      </c>
    </row>
    <row r="23" spans="1:4" x14ac:dyDescent="0.25">
      <c r="A23" s="2" t="s">
        <v>316</v>
      </c>
      <c r="B23" s="2" t="e">
        <f>B19/(Assumptions!#REF!*Assumptions!B4*Assumptions!B5)</f>
        <v>#REF!</v>
      </c>
      <c r="D23" s="2" t="s">
        <v>317</v>
      </c>
    </row>
    <row r="25" spans="1:4" x14ac:dyDescent="0.25">
      <c r="A25" s="2" t="s">
        <v>318</v>
      </c>
      <c r="D25" s="2" t="s">
        <v>319</v>
      </c>
    </row>
    <row r="27" spans="1:4" x14ac:dyDescent="0.25">
      <c r="A27" s="2" t="s">
        <v>320</v>
      </c>
      <c r="B27" s="2" t="e">
        <f>B10*3</f>
        <v>#REF!</v>
      </c>
      <c r="D27" s="2" t="s">
        <v>321</v>
      </c>
    </row>
    <row r="28" spans="1:4" x14ac:dyDescent="0.25">
      <c r="A28" s="2" t="s">
        <v>322</v>
      </c>
      <c r="B28" s="2">
        <f>B25*1.15</f>
        <v>0</v>
      </c>
      <c r="D28" s="2" t="s">
        <v>323</v>
      </c>
    </row>
    <row r="29" spans="1:4" x14ac:dyDescent="0.25">
      <c r="A29" s="2" t="s">
        <v>324</v>
      </c>
      <c r="B29" s="2" t="e">
        <f>B27*1.15</f>
        <v>#REF!</v>
      </c>
      <c r="D29" s="2" t="s">
        <v>325</v>
      </c>
    </row>
    <row r="30" spans="1:4" x14ac:dyDescent="0.25">
      <c r="A30" s="2" t="s">
        <v>326</v>
      </c>
      <c r="B30" s="2">
        <f>B28*1.15</f>
        <v>0</v>
      </c>
      <c r="D30" s="2" t="s">
        <v>327</v>
      </c>
    </row>
    <row r="32" spans="1:4" x14ac:dyDescent="0.25">
      <c r="A32" s="2" t="s">
        <v>328</v>
      </c>
      <c r="D32" s="2" t="s">
        <v>329</v>
      </c>
    </row>
    <row r="34" spans="1:4" x14ac:dyDescent="0.25">
      <c r="A34" s="2" t="s">
        <v>330</v>
      </c>
      <c r="B34" s="2" t="e">
        <f>B8/B10*100</f>
        <v>#REF!</v>
      </c>
      <c r="D34" s="2" t="s">
        <v>331</v>
      </c>
    </row>
    <row r="35" spans="1:4" x14ac:dyDescent="0.25">
      <c r="A35" s="2" t="s">
        <v>332</v>
      </c>
      <c r="B35" s="2" t="e">
        <f>B9/B10*100</f>
        <v>#REF!</v>
      </c>
      <c r="D35" s="2" t="s">
        <v>333</v>
      </c>
    </row>
    <row r="36" spans="1:4" x14ac:dyDescent="0.25">
      <c r="A36" s="2" t="s">
        <v>334</v>
      </c>
      <c r="B36" s="2" t="e">
        <f>(B3+B4)/B10*100</f>
        <v>#REF!</v>
      </c>
      <c r="D36" s="2" t="s">
        <v>335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>
      <selection activeCell="F2" sqref="F2"/>
    </sheetView>
  </sheetViews>
  <sheetFormatPr defaultRowHeight="15" x14ac:dyDescent="0.25"/>
  <cols>
    <col min="1" max="11" width="9.140625" style="2"/>
  </cols>
  <sheetData>
    <row r="1" spans="1:8" ht="60" x14ac:dyDescent="0.25">
      <c r="A1" s="1" t="s">
        <v>336</v>
      </c>
      <c r="B1" s="1" t="s">
        <v>30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</v>
      </c>
    </row>
    <row r="2" spans="1:8" ht="60" x14ac:dyDescent="0.25">
      <c r="A2" s="2" t="s">
        <v>342</v>
      </c>
      <c r="B2" s="2">
        <v>10</v>
      </c>
      <c r="C2" s="2">
        <v>3</v>
      </c>
      <c r="D2" s="2">
        <v>1</v>
      </c>
      <c r="E2" s="2">
        <v>1</v>
      </c>
      <c r="F2" s="2" t="e">
        <f>Calculations!B10</f>
        <v>#REF!</v>
      </c>
      <c r="G2" s="2" t="e">
        <f t="shared" ref="G2:G9" si="0">F1/B1</f>
        <v>#VALUE!</v>
      </c>
      <c r="H2" s="2" t="s">
        <v>343</v>
      </c>
    </row>
    <row r="3" spans="1:8" ht="45" x14ac:dyDescent="0.25">
      <c r="A3" s="2" t="s">
        <v>344</v>
      </c>
      <c r="B3" s="2">
        <v>5</v>
      </c>
      <c r="C3" s="2">
        <v>2</v>
      </c>
      <c r="D3" s="2">
        <v>0.5</v>
      </c>
      <c r="E3" s="2">
        <v>0.3</v>
      </c>
      <c r="F3" s="2" t="e">
        <f>Calculations!B10*0.4</f>
        <v>#REF!</v>
      </c>
      <c r="G3" s="2" t="e">
        <f t="shared" si="0"/>
        <v>#REF!</v>
      </c>
      <c r="H3" s="2" t="s">
        <v>345</v>
      </c>
    </row>
    <row r="4" spans="1:8" ht="60" x14ac:dyDescent="0.25">
      <c r="A4" s="2" t="s">
        <v>346</v>
      </c>
      <c r="B4" s="2">
        <v>15</v>
      </c>
      <c r="C4" s="2">
        <v>5</v>
      </c>
      <c r="D4" s="2">
        <v>1.5</v>
      </c>
      <c r="E4" s="2">
        <v>1.2</v>
      </c>
      <c r="F4" s="2" t="e">
        <f>Calculations!B10*1.8</f>
        <v>#REF!</v>
      </c>
      <c r="G4" s="2" t="e">
        <f t="shared" si="0"/>
        <v>#REF!</v>
      </c>
      <c r="H4" s="2" t="s">
        <v>347</v>
      </c>
    </row>
    <row r="5" spans="1:8" ht="75" x14ac:dyDescent="0.25">
      <c r="A5" s="2" t="s">
        <v>348</v>
      </c>
      <c r="B5" s="2">
        <v>25</v>
      </c>
      <c r="C5" s="2">
        <v>8</v>
      </c>
      <c r="D5" s="2">
        <v>2</v>
      </c>
      <c r="E5" s="2">
        <v>1.5</v>
      </c>
      <c r="F5" s="2" t="e">
        <f>Calculations!B10*4.2</f>
        <v>#REF!</v>
      </c>
      <c r="G5" s="2" t="e">
        <f t="shared" si="0"/>
        <v>#REF!</v>
      </c>
      <c r="H5" s="2" t="s">
        <v>349</v>
      </c>
    </row>
    <row r="6" spans="1:8" ht="75" x14ac:dyDescent="0.25">
      <c r="A6" s="2" t="s">
        <v>350</v>
      </c>
      <c r="B6" s="2">
        <v>10</v>
      </c>
      <c r="C6" s="2">
        <v>6</v>
      </c>
      <c r="D6" s="2">
        <v>3</v>
      </c>
      <c r="E6" s="2">
        <v>0.8</v>
      </c>
      <c r="F6" s="2" t="e">
        <f>Calculations!B10*2.1</f>
        <v>#REF!</v>
      </c>
      <c r="G6" s="2" t="e">
        <f t="shared" si="0"/>
        <v>#REF!</v>
      </c>
      <c r="H6" s="2" t="s">
        <v>351</v>
      </c>
    </row>
    <row r="7" spans="1:8" ht="60" x14ac:dyDescent="0.25">
      <c r="A7" s="2" t="s">
        <v>352</v>
      </c>
      <c r="B7" s="2">
        <v>8</v>
      </c>
      <c r="C7" s="2">
        <v>4</v>
      </c>
      <c r="D7" s="2">
        <v>1</v>
      </c>
      <c r="E7" s="2">
        <v>3</v>
      </c>
      <c r="F7" s="2" t="e">
        <f>Calculations!B10*1.9</f>
        <v>#REF!</v>
      </c>
      <c r="G7" s="2" t="e">
        <f t="shared" si="0"/>
        <v>#REF!</v>
      </c>
      <c r="H7" s="2" t="s">
        <v>353</v>
      </c>
    </row>
    <row r="8" spans="1:8" ht="75" x14ac:dyDescent="0.25">
      <c r="A8" s="2" t="s">
        <v>354</v>
      </c>
      <c r="B8" s="2">
        <v>12</v>
      </c>
      <c r="C8" s="2">
        <v>5</v>
      </c>
      <c r="D8" s="2">
        <v>2.5</v>
      </c>
      <c r="E8" s="2">
        <v>2</v>
      </c>
      <c r="F8" s="2" t="e">
        <f>Calculations!B10*2.8</f>
        <v>#REF!</v>
      </c>
      <c r="G8" s="2" t="e">
        <f t="shared" si="0"/>
        <v>#REF!</v>
      </c>
      <c r="H8" s="2" t="s">
        <v>355</v>
      </c>
    </row>
    <row r="9" spans="1:8" ht="60" x14ac:dyDescent="0.25">
      <c r="A9" s="2" t="s">
        <v>356</v>
      </c>
      <c r="B9" s="2">
        <v>10</v>
      </c>
      <c r="C9" s="2">
        <v>3</v>
      </c>
      <c r="D9" s="2">
        <v>1.2</v>
      </c>
      <c r="E9" s="2">
        <v>1</v>
      </c>
      <c r="F9" s="2" t="e">
        <f>Calculations!B10*1</f>
        <v>#REF!</v>
      </c>
      <c r="G9" s="2" t="e">
        <f t="shared" si="0"/>
        <v>#REF!</v>
      </c>
      <c r="H9" s="2" t="s">
        <v>357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workbookViewId="0">
      <selection activeCell="B13" sqref="B13"/>
    </sheetView>
  </sheetViews>
  <sheetFormatPr defaultRowHeight="15" x14ac:dyDescent="0.25"/>
  <cols>
    <col min="1" max="1" width="16.28515625" style="2" customWidth="1"/>
    <col min="2" max="2" width="44.7109375" style="2" customWidth="1"/>
    <col min="3" max="3" width="29.28515625" style="2" customWidth="1"/>
    <col min="4" max="4" width="19.5703125" style="2" customWidth="1"/>
    <col min="5" max="9" width="9.140625" style="2"/>
  </cols>
  <sheetData>
    <row r="1" spans="1:4" ht="30" x14ac:dyDescent="0.25">
      <c r="A1" s="1" t="s">
        <v>358</v>
      </c>
      <c r="B1" s="1" t="s">
        <v>28</v>
      </c>
      <c r="C1" s="1" t="s">
        <v>359</v>
      </c>
      <c r="D1" s="1" t="s">
        <v>360</v>
      </c>
    </row>
    <row r="2" spans="1:4" x14ac:dyDescent="0.25">
      <c r="A2" s="2" t="s">
        <v>361</v>
      </c>
    </row>
    <row r="6" spans="1:4" ht="30" x14ac:dyDescent="0.25">
      <c r="A6" s="2" t="s">
        <v>362</v>
      </c>
      <c r="B6" s="2" t="s">
        <v>363</v>
      </c>
      <c r="C6" s="2" t="s">
        <v>364</v>
      </c>
      <c r="D6" s="2" t="s">
        <v>365</v>
      </c>
    </row>
    <row r="7" spans="1:4" ht="30" x14ac:dyDescent="0.25">
      <c r="A7" s="2" t="s">
        <v>366</v>
      </c>
      <c r="B7" s="2" t="s">
        <v>367</v>
      </c>
      <c r="C7" s="2" t="s">
        <v>368</v>
      </c>
      <c r="D7" s="2" t="s">
        <v>365</v>
      </c>
    </row>
    <row r="8" spans="1:4" ht="30" x14ac:dyDescent="0.25">
      <c r="A8" s="2" t="s">
        <v>369</v>
      </c>
      <c r="B8" s="2" t="s">
        <v>370</v>
      </c>
      <c r="C8" s="2" t="s">
        <v>371</v>
      </c>
      <c r="D8" s="2" t="s">
        <v>365</v>
      </c>
    </row>
    <row r="9" spans="1:4" ht="30" x14ac:dyDescent="0.25">
      <c r="A9" s="2" t="s">
        <v>130</v>
      </c>
      <c r="B9" s="2" t="s">
        <v>372</v>
      </c>
      <c r="C9" s="2" t="s">
        <v>373</v>
      </c>
      <c r="D9" s="2" t="s">
        <v>374</v>
      </c>
    </row>
    <row r="11" spans="1:4" ht="30" x14ac:dyDescent="0.25">
      <c r="A11" s="2" t="s">
        <v>375</v>
      </c>
    </row>
    <row r="14" spans="1:4" ht="30" x14ac:dyDescent="0.25">
      <c r="A14" s="2" t="s">
        <v>126</v>
      </c>
      <c r="B14" s="2" t="s">
        <v>376</v>
      </c>
      <c r="C14" s="2" t="s">
        <v>377</v>
      </c>
      <c r="D14" s="2" t="s">
        <v>378</v>
      </c>
    </row>
    <row r="15" spans="1:4" ht="30" x14ac:dyDescent="0.25">
      <c r="A15" s="2" t="s">
        <v>379</v>
      </c>
      <c r="B15" s="2" t="s">
        <v>380</v>
      </c>
      <c r="C15" s="2" t="s">
        <v>381</v>
      </c>
      <c r="D15" s="2" t="s">
        <v>382</v>
      </c>
    </row>
    <row r="16" spans="1:4" ht="30" x14ac:dyDescent="0.25">
      <c r="A16" s="2" t="s">
        <v>383</v>
      </c>
      <c r="B16" s="2" t="s">
        <v>384</v>
      </c>
      <c r="C16" s="2" t="s">
        <v>385</v>
      </c>
      <c r="D16" s="2" t="s">
        <v>365</v>
      </c>
    </row>
    <row r="17" spans="1:4" ht="45" x14ac:dyDescent="0.25">
      <c r="A17" s="2" t="s">
        <v>386</v>
      </c>
      <c r="B17" s="2" t="s">
        <v>387</v>
      </c>
      <c r="C17" s="2" t="s">
        <v>388</v>
      </c>
      <c r="D17" s="2" t="s">
        <v>389</v>
      </c>
    </row>
    <row r="19" spans="1:4" ht="30" x14ac:dyDescent="0.25">
      <c r="A19" s="2" t="s">
        <v>390</v>
      </c>
    </row>
    <row r="22" spans="1:4" ht="45" x14ac:dyDescent="0.25">
      <c r="A22" s="2" t="s">
        <v>391</v>
      </c>
      <c r="B22" s="2" t="s">
        <v>392</v>
      </c>
      <c r="C22" s="2" t="s">
        <v>393</v>
      </c>
      <c r="D22" s="2" t="s">
        <v>394</v>
      </c>
    </row>
    <row r="23" spans="1:4" ht="30" x14ac:dyDescent="0.25">
      <c r="A23" s="2" t="s">
        <v>395</v>
      </c>
      <c r="B23" s="2" t="s">
        <v>396</v>
      </c>
      <c r="C23" s="2" t="s">
        <v>377</v>
      </c>
      <c r="D23" s="2" t="s">
        <v>397</v>
      </c>
    </row>
    <row r="24" spans="1:4" ht="30" x14ac:dyDescent="0.25">
      <c r="A24" s="2" t="s">
        <v>398</v>
      </c>
      <c r="B24" s="2" t="s">
        <v>399</v>
      </c>
      <c r="C24" s="2" t="s">
        <v>400</v>
      </c>
      <c r="D24" s="2" t="s">
        <v>401</v>
      </c>
    </row>
    <row r="25" spans="1:4" ht="30" x14ac:dyDescent="0.25">
      <c r="A25" s="2" t="s">
        <v>402</v>
      </c>
      <c r="B25" s="2" t="s">
        <v>403</v>
      </c>
      <c r="C25" s="2" t="s">
        <v>404</v>
      </c>
      <c r="D25" s="2" t="s">
        <v>397</v>
      </c>
    </row>
    <row r="26" spans="1:4" ht="30" x14ac:dyDescent="0.25">
      <c r="A26" s="2" t="s">
        <v>405</v>
      </c>
      <c r="B26" s="2" t="s">
        <v>406</v>
      </c>
      <c r="C26" s="2" t="s">
        <v>407</v>
      </c>
      <c r="D26" s="2" t="s">
        <v>408</v>
      </c>
    </row>
    <row r="27" spans="1:4" ht="30" x14ac:dyDescent="0.25">
      <c r="A27" s="2" t="s">
        <v>409</v>
      </c>
      <c r="B27" s="2" t="s">
        <v>410</v>
      </c>
      <c r="C27" s="2" t="s">
        <v>411</v>
      </c>
      <c r="D27" s="2" t="s">
        <v>412</v>
      </c>
    </row>
    <row r="28" spans="1:4" ht="30" x14ac:dyDescent="0.25">
      <c r="A28" s="2" t="s">
        <v>413</v>
      </c>
      <c r="B28" s="2" t="s">
        <v>414</v>
      </c>
      <c r="C28" s="2" t="s">
        <v>415</v>
      </c>
      <c r="D28" s="2" t="s">
        <v>416</v>
      </c>
    </row>
    <row r="30" spans="1:4" ht="45" x14ac:dyDescent="0.25">
      <c r="A30" s="2" t="s">
        <v>417</v>
      </c>
    </row>
    <row r="34" spans="1:4" ht="45" x14ac:dyDescent="0.25">
      <c r="A34" s="2" t="s">
        <v>418</v>
      </c>
      <c r="B34" s="2" t="s">
        <v>419</v>
      </c>
      <c r="C34" s="2" t="s">
        <v>420</v>
      </c>
      <c r="D34" s="2" t="s">
        <v>421</v>
      </c>
    </row>
    <row r="35" spans="1:4" ht="45" x14ac:dyDescent="0.25">
      <c r="A35" s="2" t="s">
        <v>422</v>
      </c>
      <c r="B35" s="2" t="s">
        <v>423</v>
      </c>
      <c r="C35" s="2" t="s">
        <v>424</v>
      </c>
      <c r="D35" s="2" t="s">
        <v>425</v>
      </c>
    </row>
    <row r="36" spans="1:4" ht="45" x14ac:dyDescent="0.25">
      <c r="A36" s="2" t="s">
        <v>426</v>
      </c>
      <c r="B36" s="2" t="s">
        <v>427</v>
      </c>
      <c r="C36" s="2" t="s">
        <v>428</v>
      </c>
      <c r="D36" s="2" t="s">
        <v>429</v>
      </c>
    </row>
    <row r="37" spans="1:4" ht="45" x14ac:dyDescent="0.25">
      <c r="A37" s="2" t="s">
        <v>430</v>
      </c>
      <c r="B37" s="2" t="s">
        <v>431</v>
      </c>
      <c r="C37" s="2" t="s">
        <v>432</v>
      </c>
      <c r="D37" s="2" t="s">
        <v>433</v>
      </c>
    </row>
    <row r="39" spans="1:4" ht="45" x14ac:dyDescent="0.25">
      <c r="A39" s="2" t="s">
        <v>434</v>
      </c>
    </row>
    <row r="42" spans="1:4" ht="45" x14ac:dyDescent="0.25">
      <c r="A42" s="2" t="s">
        <v>435</v>
      </c>
      <c r="B42" s="2" t="s">
        <v>436</v>
      </c>
      <c r="C42" s="2" t="s">
        <v>437</v>
      </c>
      <c r="D42" s="2" t="s">
        <v>438</v>
      </c>
    </row>
    <row r="43" spans="1:4" ht="45" x14ac:dyDescent="0.25">
      <c r="A43" s="2" t="s">
        <v>279</v>
      </c>
      <c r="B43" s="2" t="s">
        <v>439</v>
      </c>
      <c r="C43" s="2" t="s">
        <v>440</v>
      </c>
      <c r="D43" s="2" t="s">
        <v>441</v>
      </c>
    </row>
    <row r="44" spans="1:4" ht="30" x14ac:dyDescent="0.25">
      <c r="A44" s="2" t="s">
        <v>96</v>
      </c>
      <c r="B44" s="2" t="s">
        <v>442</v>
      </c>
      <c r="C44" s="2" t="s">
        <v>443</v>
      </c>
      <c r="D44" s="2" t="s">
        <v>444</v>
      </c>
    </row>
    <row r="45" spans="1:4" ht="45" x14ac:dyDescent="0.25">
      <c r="A45" s="2" t="s">
        <v>445</v>
      </c>
      <c r="B45" s="2" t="s">
        <v>446</v>
      </c>
      <c r="C45" s="2" t="s">
        <v>447</v>
      </c>
      <c r="D45" s="2" t="s">
        <v>448</v>
      </c>
    </row>
    <row r="47" spans="1:4" ht="45" x14ac:dyDescent="0.25">
      <c r="A47" s="2" t="s">
        <v>449</v>
      </c>
    </row>
    <row r="50" spans="1:4" ht="30" x14ac:dyDescent="0.25">
      <c r="A50" s="2" t="s">
        <v>450</v>
      </c>
      <c r="B50" s="2" t="s">
        <v>451</v>
      </c>
      <c r="C50" s="2" t="s">
        <v>452</v>
      </c>
      <c r="D50" s="2" t="s">
        <v>453</v>
      </c>
    </row>
    <row r="51" spans="1:4" ht="30" x14ac:dyDescent="0.25">
      <c r="A51" s="2" t="s">
        <v>454</v>
      </c>
      <c r="B51" s="2" t="s">
        <v>455</v>
      </c>
      <c r="C51" s="2" t="s">
        <v>456</v>
      </c>
      <c r="D51" s="2" t="s">
        <v>457</v>
      </c>
    </row>
    <row r="52" spans="1:4" ht="45" x14ac:dyDescent="0.25">
      <c r="A52" s="2" t="s">
        <v>458</v>
      </c>
      <c r="B52" s="2" t="s">
        <v>459</v>
      </c>
      <c r="C52" s="2" t="s">
        <v>460</v>
      </c>
      <c r="D52" s="2" t="s">
        <v>461</v>
      </c>
    </row>
    <row r="53" spans="1:4" ht="30" x14ac:dyDescent="0.25">
      <c r="A53" s="2" t="s">
        <v>462</v>
      </c>
      <c r="B53" s="2" t="s">
        <v>463</v>
      </c>
      <c r="C53" s="2" t="s">
        <v>464</v>
      </c>
      <c r="D53" s="2" t="s">
        <v>465</v>
      </c>
    </row>
    <row r="54" spans="1:4" ht="30" x14ac:dyDescent="0.25">
      <c r="A54" s="2" t="s">
        <v>466</v>
      </c>
      <c r="B54" s="2" t="s">
        <v>467</v>
      </c>
      <c r="C54" s="2" t="s">
        <v>468</v>
      </c>
      <c r="D54" s="2" t="s">
        <v>469</v>
      </c>
    </row>
    <row r="55" spans="1:4" ht="30" x14ac:dyDescent="0.25">
      <c r="A55" s="2" t="s">
        <v>470</v>
      </c>
      <c r="B55" s="2" t="s">
        <v>471</v>
      </c>
      <c r="C55" s="2" t="s">
        <v>472</v>
      </c>
      <c r="D55" s="2" t="s">
        <v>473</v>
      </c>
    </row>
    <row r="56" spans="1:4" ht="30" x14ac:dyDescent="0.25">
      <c r="A56" s="2" t="s">
        <v>474</v>
      </c>
      <c r="B56" s="2" t="s">
        <v>475</v>
      </c>
      <c r="C56" s="2" t="s">
        <v>476</v>
      </c>
      <c r="D56" s="2" t="s">
        <v>453</v>
      </c>
    </row>
    <row r="58" spans="1:4" x14ac:dyDescent="0.25">
      <c r="A58" s="2" t="s">
        <v>477</v>
      </c>
    </row>
    <row r="62" spans="1:4" ht="30" x14ac:dyDescent="0.25">
      <c r="A62" s="2" t="s">
        <v>478</v>
      </c>
      <c r="B62" s="2" t="s">
        <v>479</v>
      </c>
      <c r="C62" s="2" t="s">
        <v>480</v>
      </c>
      <c r="D62" s="2" t="s">
        <v>481</v>
      </c>
    </row>
    <row r="63" spans="1:4" ht="45" x14ac:dyDescent="0.25">
      <c r="A63" s="2" t="s">
        <v>482</v>
      </c>
      <c r="B63" s="2" t="s">
        <v>483</v>
      </c>
      <c r="C63" s="2" t="s">
        <v>484</v>
      </c>
      <c r="D63" s="2" t="s">
        <v>485</v>
      </c>
    </row>
    <row r="64" spans="1:4" ht="30" x14ac:dyDescent="0.25">
      <c r="A64" s="2" t="s">
        <v>486</v>
      </c>
      <c r="B64" s="2" t="s">
        <v>487</v>
      </c>
      <c r="C64" s="2" t="s">
        <v>488</v>
      </c>
      <c r="D64" s="2" t="s">
        <v>489</v>
      </c>
    </row>
    <row r="65" spans="1:4" ht="30" x14ac:dyDescent="0.25">
      <c r="A65" s="2" t="s">
        <v>490</v>
      </c>
      <c r="B65" s="2" t="s">
        <v>491</v>
      </c>
      <c r="C65" s="2" t="s">
        <v>492</v>
      </c>
      <c r="D65" s="2" t="s">
        <v>481</v>
      </c>
    </row>
    <row r="67" spans="1:4" x14ac:dyDescent="0.25">
      <c r="A67" s="2" t="s">
        <v>493</v>
      </c>
    </row>
    <row r="70" spans="1:4" ht="30" x14ac:dyDescent="0.25">
      <c r="A70" s="2" t="s">
        <v>494</v>
      </c>
      <c r="B70" s="2" t="s">
        <v>495</v>
      </c>
      <c r="C70" s="2" t="s">
        <v>496</v>
      </c>
      <c r="D70" s="2" t="s">
        <v>497</v>
      </c>
    </row>
    <row r="71" spans="1:4" ht="30" x14ac:dyDescent="0.25">
      <c r="A71" s="2" t="s">
        <v>498</v>
      </c>
      <c r="B71" s="2" t="s">
        <v>499</v>
      </c>
      <c r="C71" s="2" t="s">
        <v>500</v>
      </c>
      <c r="D71" s="2" t="s">
        <v>501</v>
      </c>
    </row>
    <row r="72" spans="1:4" ht="30" x14ac:dyDescent="0.25">
      <c r="A72" s="2" t="s">
        <v>502</v>
      </c>
      <c r="B72" s="2" t="s">
        <v>503</v>
      </c>
      <c r="C72" s="2" t="s">
        <v>504</v>
      </c>
      <c r="D72" s="2" t="s">
        <v>505</v>
      </c>
    </row>
    <row r="73" spans="1:4" x14ac:dyDescent="0.25">
      <c r="A73" s="2" t="s">
        <v>506</v>
      </c>
      <c r="B73" s="2" t="s">
        <v>507</v>
      </c>
      <c r="C73" s="2" t="s">
        <v>508</v>
      </c>
      <c r="D73" s="2" t="s">
        <v>509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AWS Pricing</vt:lpstr>
      <vt:lpstr>Bill of Materials</vt:lpstr>
      <vt:lpstr>Calculations</vt:lpstr>
      <vt:lpstr>Scenarios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Dermot O'Brien</cp:lastModifiedBy>
  <dcterms:created xsi:type="dcterms:W3CDTF">2025-10-16T21:37:19Z</dcterms:created>
  <dcterms:modified xsi:type="dcterms:W3CDTF">2025-10-17T02:48:29Z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d1e36-6fc3-4f53-9115-a90510e29109_Enabled">
    <vt:lpwstr>true</vt:lpwstr>
  </property>
  <property fmtid="{D5CDD505-2E9C-101B-9397-08002B2CF9AE}" pid="3" name="MSIP_Label_387d1e36-6fc3-4f53-9115-a90510e29109_SetDate">
    <vt:lpwstr>2025-10-16T22:46:18Z</vt:lpwstr>
  </property>
  <property fmtid="{D5CDD505-2E9C-101B-9397-08002B2CF9AE}" pid="4" name="MSIP_Label_387d1e36-6fc3-4f53-9115-a90510e29109_Method">
    <vt:lpwstr>Privileged</vt:lpwstr>
  </property>
  <property fmtid="{D5CDD505-2E9C-101B-9397-08002B2CF9AE}" pid="5" name="MSIP_Label_387d1e36-6fc3-4f53-9115-a90510e29109_Name">
    <vt:lpwstr>387d1e36-6fc3-4f53-9115-a90510e29109</vt:lpwstr>
  </property>
  <property fmtid="{D5CDD505-2E9C-101B-9397-08002B2CF9AE}" pid="6" name="MSIP_Label_387d1e36-6fc3-4f53-9115-a90510e29109_SiteId">
    <vt:lpwstr>2dc32a81-25ce-4e14-b7bd-f7a45d1170c0</vt:lpwstr>
  </property>
  <property fmtid="{D5CDD505-2E9C-101B-9397-08002B2CF9AE}" pid="7" name="MSIP_Label_387d1e36-6fc3-4f53-9115-a90510e29109_ActionId">
    <vt:lpwstr>fa0a585f-ccf8-48ea-bafa-395e26d3a855</vt:lpwstr>
  </property>
  <property fmtid="{D5CDD505-2E9C-101B-9397-08002B2CF9AE}" pid="8" name="MSIP_Label_387d1e36-6fc3-4f53-9115-a90510e29109_ContentBits">
    <vt:lpwstr>3</vt:lpwstr>
  </property>
  <property fmtid="{D5CDD505-2E9C-101B-9397-08002B2CF9AE}" pid="9" name="MSIP_Label_387d1e36-6fc3-4f53-9115-a90510e29109_Tag">
    <vt:lpwstr>10, 0, 1, 1</vt:lpwstr>
  </property>
</Properties>
</file>